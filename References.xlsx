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6.xml" ContentType="application/vnd.openxmlformats-officedocument.spreadsheetml.table+xml"/>
  <Override PartName="/xl/slicers/slicer2.xml" ContentType="application/vnd.ms-excel.slicer+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N1103067\Downloads\excelcookbook-main\excelcookbook-main\ch02\"/>
    </mc:Choice>
  </mc:AlternateContent>
  <xr:revisionPtr revIDLastSave="0" documentId="8_{E3E76188-D331-4627-8E69-00A9581EA5C6}" xr6:coauthVersionLast="47" xr6:coauthVersionMax="47" xr10:uidLastSave="{00000000-0000-0000-0000-000000000000}"/>
  <bookViews>
    <workbookView xWindow="-110" yWindow="-110" windowWidth="19420" windowHeight="10300" firstSheet="18" activeTab="24" xr2:uid="{0D297B63-42B2-41CE-9F39-58FF1B971BF0}"/>
  </bookViews>
  <sheets>
    <sheet name="References" sheetId="3" r:id="rId1"/>
    <sheet name="References Mixed" sheetId="20" r:id="rId2"/>
    <sheet name="Conditional Formatting" sheetId="5" r:id="rId3"/>
    <sheet name="Conditional Formatting 2" sheetId="21" r:id="rId4"/>
    <sheet name="R1C1" sheetId="6" r:id="rId5"/>
    <sheet name="R1C1 Blank" sheetId="22" r:id="rId6"/>
    <sheet name="Workbook References" sheetId="7" r:id="rId7"/>
    <sheet name="3-D References" sheetId="8" r:id="rId8"/>
    <sheet name="HR" sheetId="9" r:id="rId9"/>
    <sheet name="Marketing" sheetId="10" r:id="rId10"/>
    <sheet name="Sales" sheetId="11" r:id="rId11"/>
    <sheet name="Names" sheetId="12" r:id="rId12"/>
    <sheet name="Dynamic Names" sheetId="13" r:id="rId13"/>
    <sheet name="Data Validation" sheetId="14" r:id="rId14"/>
    <sheet name="Dependent Dropdown Lists" sheetId="15" r:id="rId15"/>
    <sheet name="Data-Entry Form" sheetId="16" r:id="rId16"/>
    <sheet name="Advanced Filter" sheetId="17" r:id="rId17"/>
    <sheet name="Outlines" sheetId="18" r:id="rId18"/>
    <sheet name="Outlines (3)" sheetId="26" r:id="rId19"/>
    <sheet name="Outlines (2)" sheetId="25" r:id="rId20"/>
    <sheet name="Table" sheetId="24" r:id="rId21"/>
    <sheet name="Tables" sheetId="19" r:id="rId22"/>
    <sheet name="Tables (2)" sheetId="27" r:id="rId23"/>
    <sheet name="Sheet4" sheetId="23" r:id="rId24"/>
    <sheet name="Planilha4" sheetId="28" r:id="rId25"/>
  </sheets>
  <externalReferences>
    <externalReference r:id="rId26"/>
    <externalReference r:id="rId27"/>
  </externalReferences>
  <definedNames>
    <definedName name="_xlnm._FilterDatabase" localSheetId="16" hidden="1">'Advanced Filter'!$A$10:$C$14</definedName>
    <definedName name="_xlnm._FilterDatabase" localSheetId="15" hidden="1">'Data-Entry Form'!$A$1:$C$6</definedName>
    <definedName name="_xlnm._FilterDatabase" localSheetId="17" hidden="1">Outlines!$A$1:$C$6</definedName>
    <definedName name="_xlnm._FilterDatabase" localSheetId="19" hidden="1">'Outlines (2)'!$A$1:$C$6</definedName>
    <definedName name="_xlnm._FilterDatabase" localSheetId="18" hidden="1">'Outlines (3)'!$A$1:$C$8</definedName>
    <definedName name="AA">Sheet4!$B$2:$D$2</definedName>
    <definedName name="AC">Sheet4!$B$4:$D$4</definedName>
    <definedName name="_xlnm.Extract" localSheetId="16">'Advanced Filter'!$J$16:$L$16</definedName>
    <definedName name="BEBIDA">'Dependent Dropdown Lists'!$B$2:$B$4</definedName>
    <definedName name="Coffee">Names!$B$9</definedName>
    <definedName name="COMID">'Dependent Dropdown Lists'!$A$2:$A$5</definedName>
    <definedName name="comida">Names!$B$7</definedName>
    <definedName name="_xlnm.Criteria" localSheetId="16">'Advanced Filter'!$A$2:$C$4</definedName>
    <definedName name="_xlnm.Criteria" localSheetId="15">'Data-Entry Form'!#REF!</definedName>
    <definedName name="_xlnm.Criteria" localSheetId="17">Outlines!#REF!</definedName>
    <definedName name="_xlnm.Criteria" localSheetId="19">'Outlines (2)'!#REF!</definedName>
    <definedName name="_xlnm.Criteria" localSheetId="18">'Outlines (3)'!#REF!</definedName>
    <definedName name="DE">Sheet4!$B$3:$D$3</definedName>
    <definedName name="Drink">'Dependent Dropdown Lists'!$B$2:$B$4</definedName>
    <definedName name="EF">Sheet4!$B$6:$D$6</definedName>
    <definedName name="Feb">Sheet4!$C$2:$C$6</definedName>
    <definedName name="Food">'Dependent Dropdown Lists'!$A$2:$A$5</definedName>
    <definedName name="GoldenRatio">1.618033988749</definedName>
    <definedName name="Items" localSheetId="16">Table1[Items]</definedName>
    <definedName name="Items" localSheetId="17">Table1[Items]</definedName>
    <definedName name="Items" localSheetId="19">Table1[Items]</definedName>
    <definedName name="Items" localSheetId="18">Table1[Items]</definedName>
    <definedName name="Items" localSheetId="1">Table1[Items]</definedName>
    <definedName name="Items" localSheetId="22">Table1[Items]</definedName>
    <definedName name="Items">Table1[Items]</definedName>
    <definedName name="ItemsCells">Names!$A$6:$A$11</definedName>
    <definedName name="ItemsList">'Dynamic Names'!$A$2:INDEX('Dynamic Names'!$A:$A,COUNTA('Dynamic Names'!$A:$A))</definedName>
    <definedName name="Jan">Sheet4!$B$2:$B$6</definedName>
    <definedName name="LastThreeItems">OFFSET('Dynamic Names'!$A$1,COUNTA('Dynamic Names'!$A:$A)-3,0,3,1)</definedName>
    <definedName name="LastThreeItemsAgain">OFFSET('Dynamic Names'!$A$1,COUNTA('Dynamic Names'!$A:$A)-3,0,3,1)</definedName>
    <definedName name="Mar">Sheet4!$D$2:$D$6</definedName>
    <definedName name="Pizza">Names!$B$6</definedName>
    <definedName name="Sales">Names!$B$6:$B$11</definedName>
    <definedName name="Salesperson">Sheet4!$B$2:$D$6</definedName>
    <definedName name="SegmentaçãodeDados_Category">#N/A</definedName>
    <definedName name="SegmentaçãodeDados_Item">#N/A</definedName>
    <definedName name="Slicer_Category">#N/A</definedName>
    <definedName name="tabela_vendas">#REF!</definedName>
    <definedName name="tabela_vendedor" localSheetId="21">'Tables (2)'!$G$1:$J$6</definedName>
    <definedName name="Tea">Names!$B$8</definedName>
    <definedName name="Totals">Names!$B$1:$B$2</definedName>
    <definedName name="vendads_vendedor">Sheet4!$A$1:$D$6</definedName>
    <definedName name="VENDAS_2026">VENDAS_EU[]</definedName>
    <definedName name="vendas_ano">Sheet4!$B$2:$D$6</definedName>
    <definedName name="vendas_total_ano">Tabela1315[#All]</definedName>
    <definedName name="vendedor">'Tables (2)'!$G$1:$J$6</definedName>
    <definedName name="YR">Sheet4!$B$5:$D$5</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28" l="1" a="1"/>
  <c r="H17" i="28" s="1"/>
  <c r="C7" i="28"/>
  <c r="D7" i="28"/>
  <c r="B7" i="28"/>
  <c r="E7" i="28" s="1"/>
  <c r="E2" i="28"/>
  <c r="E3" i="28"/>
  <c r="E4" i="28"/>
  <c r="E5" i="28"/>
  <c r="H10" i="28" s="1" a="1"/>
  <c r="H10" i="28" s="1"/>
  <c r="E6" i="28"/>
  <c r="D7" i="23"/>
  <c r="C7" i="23"/>
  <c r="B7" i="23"/>
  <c r="E7" i="23" s="1"/>
  <c r="E6" i="23"/>
  <c r="E5" i="23"/>
  <c r="E4" i="23"/>
  <c r="E3" i="23"/>
  <c r="E2" i="23"/>
  <c r="J7" i="27"/>
  <c r="I7" i="27"/>
  <c r="K7" i="27" s="1"/>
  <c r="H7" i="27"/>
  <c r="K6" i="27"/>
  <c r="K5" i="27"/>
  <c r="K4" i="27"/>
  <c r="K3" i="27"/>
  <c r="K2" i="27"/>
  <c r="E3" i="27"/>
  <c r="E4" i="27"/>
  <c r="E5" i="27"/>
  <c r="E6" i="27"/>
  <c r="E2" i="27"/>
  <c r="D7" i="27"/>
  <c r="C7" i="27"/>
  <c r="B7" i="27"/>
  <c r="E7" i="27" s="1"/>
  <c r="C10" i="26"/>
  <c r="C7" i="26"/>
  <c r="C5" i="26"/>
  <c r="C3" i="26"/>
  <c r="C8" i="25"/>
  <c r="C4" i="25"/>
  <c r="C9" i="25" s="1"/>
  <c r="C15" i="17"/>
  <c r="H2" i="28" l="1" a="1"/>
  <c r="H2" i="28" s="1"/>
  <c r="C11" i="26"/>
  <c r="A9" i="8" l="1"/>
  <c r="C7" i="24"/>
  <c r="A1" i="6"/>
  <c r="C7" i="3" l="1"/>
  <c r="D7" i="3"/>
  <c r="E7" i="3"/>
  <c r="C8" i="3"/>
  <c r="D8" i="3"/>
  <c r="E8" i="3"/>
  <c r="C9" i="3"/>
  <c r="D9" i="3"/>
  <c r="E9" i="3"/>
  <c r="C1" i="20"/>
  <c r="D1" i="20"/>
  <c r="E1" i="20"/>
  <c r="C2" i="20"/>
  <c r="D2" i="20"/>
  <c r="E2" i="20"/>
  <c r="C3" i="20"/>
  <c r="D3" i="20"/>
  <c r="E3" i="20"/>
  <c r="E9" i="20"/>
  <c r="D9" i="20"/>
  <c r="C9" i="20"/>
  <c r="E8" i="20"/>
  <c r="D8" i="20"/>
  <c r="C8" i="20"/>
  <c r="E7" i="20"/>
  <c r="D7" i="20"/>
  <c r="C7" i="20"/>
  <c r="C17" i="19"/>
  <c r="B17" i="19"/>
  <c r="F11" i="19"/>
  <c r="F10" i="19"/>
  <c r="B16" i="19"/>
  <c r="C16" i="19"/>
  <c r="C10" i="19"/>
  <c r="D10" i="19"/>
  <c r="C13" i="19"/>
  <c r="D13" i="19"/>
  <c r="B13" i="19"/>
  <c r="B10" i="19"/>
  <c r="B7" i="19"/>
  <c r="D14" i="19" s="1" a="1"/>
  <c r="D14" i="19" s="1"/>
  <c r="D7" i="19"/>
  <c r="D11" i="19" s="1"/>
  <c r="C7" i="19"/>
  <c r="C11" i="19" s="1"/>
  <c r="C8" i="18"/>
  <c r="C4" i="18"/>
  <c r="C9" i="18" s="1"/>
  <c r="B11" i="19" l="1"/>
  <c r="C14" i="19" a="1"/>
  <c r="C14" i="19" s="1"/>
  <c r="B14" i="19" a="1"/>
  <c r="B14" i="19" s="1"/>
  <c r="A3" i="17"/>
  <c r="I1" i="12" a="1"/>
  <c r="I1" i="12" s="1"/>
  <c r="H1" i="12" a="1"/>
  <c r="H1" i="12" s="1"/>
  <c r="C1" i="14"/>
  <c r="D1" i="13" a="1"/>
  <c r="D1" i="13" s="1"/>
  <c r="A3" i="8" a="1"/>
  <c r="A3" i="8" s="1"/>
  <c r="C2" i="8"/>
  <c r="C1" i="8"/>
  <c r="A1" i="8"/>
  <c r="A1" i="7"/>
  <c r="B2" i="7"/>
  <c r="E2" i="3" l="1"/>
  <c r="E3" i="3"/>
  <c r="E1" i="3"/>
  <c r="D2" i="3"/>
  <c r="D3" i="3"/>
  <c r="D1" i="3"/>
  <c r="C2" i="3"/>
  <c r="C3" i="3"/>
  <c r="C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<sst xmlns="http://schemas.openxmlformats.org/spreadsheetml/2006/main" count="233" uniqueCount="50">
  <si>
    <t>Width</t>
  </si>
  <si>
    <t>Length</t>
  </si>
  <si>
    <t>Total:</t>
  </si>
  <si>
    <t>Items</t>
  </si>
  <si>
    <t>Food Total:</t>
  </si>
  <si>
    <t>Drink Total:</t>
  </si>
  <si>
    <t>Sales</t>
  </si>
  <si>
    <t>Pizza</t>
  </si>
  <si>
    <t>Burger</t>
  </si>
  <si>
    <t>Tea</t>
  </si>
  <si>
    <t>Coffee</t>
  </si>
  <si>
    <t>Another column</t>
  </si>
  <si>
    <t>fsdfasf</t>
  </si>
  <si>
    <t>Samosa</t>
  </si>
  <si>
    <t>Salad</t>
  </si>
  <si>
    <t>Soup</t>
  </si>
  <si>
    <t>Cola</t>
  </si>
  <si>
    <t>Cake</t>
  </si>
  <si>
    <t>Food</t>
  </si>
  <si>
    <t>Drink</t>
  </si>
  <si>
    <t>Category</t>
  </si>
  <si>
    <t>Item</t>
  </si>
  <si>
    <t>Amount</t>
  </si>
  <si>
    <t>Criteria</t>
  </si>
  <si>
    <t>C*</t>
  </si>
  <si>
    <t>Food Total</t>
  </si>
  <si>
    <t>Drink Total</t>
  </si>
  <si>
    <t>Grand Total</t>
  </si>
  <si>
    <t>Total</t>
  </si>
  <si>
    <t>Jan</t>
  </si>
  <si>
    <t>Feb</t>
  </si>
  <si>
    <t>Salesperson</t>
  </si>
  <si>
    <t>AA</t>
  </si>
  <si>
    <t>DE</t>
  </si>
  <si>
    <t>AC</t>
  </si>
  <si>
    <t>YR</t>
  </si>
  <si>
    <t>EF</t>
  </si>
  <si>
    <t>Mar</t>
  </si>
  <si>
    <t>FOOD</t>
  </si>
  <si>
    <t xml:space="preserve">CAKE </t>
  </si>
  <si>
    <t xml:space="preserve">DESCOUNT </t>
  </si>
  <si>
    <t>Total Geral</t>
  </si>
  <si>
    <t>Coffee Total</t>
  </si>
  <si>
    <t>Tea Total</t>
  </si>
  <si>
    <t>Cake Total</t>
  </si>
  <si>
    <t>Pizza Total</t>
  </si>
  <si>
    <t>totais</t>
  </si>
  <si>
    <t>vendas_ano</t>
  </si>
  <si>
    <t>TOTAL</t>
  </si>
  <si>
    <t xml:space="preserve">media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</si>
</sst>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sz val="11"/>
      <color theme="4" tint="-0.249977111117893"/>
      <name val="Calibri"/>
      <family val="2"/>
      <scheme val="minor"/>
    </font>
    <font>
      <b/>
      <sz val="11"/>
      <color theme="4" tint="-0.249977111117893"/>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right/>
      <top/>
      <bottom style="medium">
        <color theme="4" tint="0.39997558519241921"/>
      </bottom>
      <diagonal/>
    </border>
    <border>
      <left/>
      <right style="medium">
        <color theme="4" tint="0.39994506668294322"/>
      </right>
      <top/>
      <bottom/>
      <diagonal/>
    </border>
    <border>
      <left/>
      <right/>
      <top/>
      <bottom style="thin">
        <color indexed="64"/>
      </bottom>
      <diagonal/>
    </border>
    <border>
      <left/>
      <right/>
      <top style="thin">
        <color indexed="64"/>
      </top>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double">
        <color theme="4"/>
      </top>
      <bottom/>
      <diagonal/>
    </border>
    <border>
      <left style="thin">
        <color theme="4" tint="0.39997558519241921"/>
      </left>
      <right/>
      <top/>
      <bottom/>
      <diagonal/>
    </border>
    <border>
      <left/>
      <right style="thin">
        <color theme="4" tint="0.39997558519241921"/>
      </right>
      <top style="thin">
        <color indexed="64"/>
      </top>
      <bottom/>
      <diagonal/>
    </border>
    <border>
      <left style="thin">
        <color theme="4" tint="0.39997558519241921"/>
      </left>
      <right/>
      <top style="thin">
        <color theme="4"/>
      </top>
      <bottom/>
      <diagonal/>
    </border>
    <border>
      <left style="thin">
        <color theme="4" tint="0.39997558519241921"/>
      </left>
      <right/>
      <top/>
      <bottom style="thin">
        <color theme="4"/>
      </bottom>
      <diagonal/>
    </border>
  </borders>
  <cellStyleXfs count="2">
    <xf numFmtId="0" fontId="0" fillId="0" borderId="0"/>
    <xf numFmtId="0" fontId="1" fillId="0" borderId="1" applyNumberFormat="0" applyFill="0" applyAlignment="0" applyProtection="0"/>
  </cellStyleXfs>
  <cellXfs count="42">
    <xf numFmtId="0" fontId="0" fillId="0" borderId="0" xfId="0"/>
    <xf numFmtId="0" fontId="2" fillId="0" borderId="1" xfId="1" applyFont="1"/>
    <xf numFmtId="0" fontId="2" fillId="0" borderId="2" xfId="1" applyFont="1" applyBorder="1"/>
    <xf numFmtId="0" fontId="0" fillId="0" borderId="3" xfId="0" applyBorder="1"/>
    <xf numFmtId="14" fontId="0" fillId="0" borderId="0" xfId="0" applyNumberFormat="1"/>
    <xf numFmtId="164" fontId="0" fillId="0" borderId="0" xfId="0" applyNumberFormat="1"/>
    <xf numFmtId="0" fontId="2" fillId="0" borderId="0" xfId="0" applyFont="1"/>
    <xf numFmtId="0" fontId="0" fillId="0" borderId="0" xfId="0" applyAlignment="1">
      <alignment horizontal="right" vertical="center" textRotation="90"/>
    </xf>
    <xf numFmtId="0" fontId="0" fillId="0" borderId="0" xfId="0" applyAlignment="1">
      <alignment horizontal="center"/>
    </xf>
    <xf numFmtId="0" fontId="0" fillId="0" borderId="0" xfId="0" applyFill="1" applyBorder="1"/>
    <xf numFmtId="0" fontId="2" fillId="0" borderId="5" xfId="0" applyFont="1" applyBorder="1"/>
    <xf numFmtId="0" fontId="3" fillId="2" borderId="7" xfId="0" applyFont="1" applyFill="1" applyBorder="1"/>
    <xf numFmtId="0" fontId="3" fillId="2" borderId="8" xfId="0" applyFont="1" applyFill="1" applyBorder="1"/>
    <xf numFmtId="0" fontId="0" fillId="3" borderId="7" xfId="0" applyFont="1" applyFill="1" applyBorder="1"/>
    <xf numFmtId="164" fontId="0" fillId="3" borderId="8" xfId="0" applyNumberFormat="1" applyFont="1" applyFill="1" applyBorder="1"/>
    <xf numFmtId="0" fontId="0" fillId="0" borderId="7" xfId="0" applyFont="1" applyBorder="1"/>
    <xf numFmtId="164" fontId="0" fillId="0" borderId="8" xfId="0" applyNumberFormat="1" applyFont="1" applyBorder="1"/>
    <xf numFmtId="164" fontId="2" fillId="0" borderId="6" xfId="0" applyNumberFormat="1" applyFont="1" applyBorder="1"/>
    <xf numFmtId="0" fontId="3" fillId="2" borderId="0" xfId="0" applyFont="1" applyFill="1" applyBorder="1"/>
    <xf numFmtId="164" fontId="0" fillId="3" borderId="7" xfId="0" applyNumberFormat="1" applyFont="1" applyFill="1" applyBorder="1"/>
    <xf numFmtId="164" fontId="0" fillId="0" borderId="7" xfId="0" applyNumberFormat="1" applyFont="1" applyBorder="1"/>
    <xf numFmtId="164" fontId="2" fillId="0" borderId="5" xfId="0" applyNumberFormat="1" applyFont="1" applyBorder="1"/>
    <xf numFmtId="0" fontId="2" fillId="0" borderId="9" xfId="0" applyFont="1" applyBorder="1"/>
    <xf numFmtId="164" fontId="2" fillId="0" borderId="9" xfId="0" applyNumberFormat="1" applyFont="1" applyBorder="1"/>
    <xf numFmtId="164" fontId="0" fillId="3" borderId="4" xfId="0" applyNumberFormat="1" applyFont="1" applyFill="1" applyBorder="1"/>
    <xf numFmtId="164" fontId="0" fillId="3" borderId="11" xfId="0" applyNumberFormat="1" applyFont="1" applyFill="1" applyBorder="1"/>
    <xf numFmtId="164" fontId="0" fillId="0" borderId="0" xfId="0" applyNumberFormat="1" applyFill="1" applyBorder="1"/>
    <xf numFmtId="0" fontId="0" fillId="3" borderId="4" xfId="0" applyFont="1" applyFill="1" applyBorder="1"/>
    <xf numFmtId="0" fontId="3" fillId="2" borderId="12" xfId="0" applyFont="1" applyFill="1" applyBorder="1"/>
    <xf numFmtId="164" fontId="4" fillId="3" borderId="4" xfId="0" applyNumberFormat="1" applyFont="1" applyFill="1" applyBorder="1"/>
    <xf numFmtId="164" fontId="4" fillId="3" borderId="12" xfId="0" applyNumberFormat="1" applyFont="1" applyFill="1" applyBorder="1"/>
    <xf numFmtId="164" fontId="4" fillId="0" borderId="7" xfId="0" applyNumberFormat="1" applyFont="1" applyBorder="1"/>
    <xf numFmtId="164" fontId="4" fillId="0" borderId="10" xfId="0" applyNumberFormat="1" applyFont="1" applyBorder="1"/>
    <xf numFmtId="164" fontId="4" fillId="3" borderId="7" xfId="0" applyNumberFormat="1" applyFont="1" applyFill="1" applyBorder="1"/>
    <xf numFmtId="164" fontId="4" fillId="3" borderId="10" xfId="0" applyNumberFormat="1" applyFont="1" applyFill="1" applyBorder="1"/>
    <xf numFmtId="164" fontId="5" fillId="0" borderId="5" xfId="0" applyNumberFormat="1" applyFont="1" applyBorder="1"/>
    <xf numFmtId="164" fontId="4" fillId="0" borderId="13" xfId="0" applyNumberFormat="1" applyFont="1" applyBorder="1"/>
    <xf numFmtId="0" fontId="4" fillId="3" borderId="4" xfId="0" applyFont="1" applyFill="1" applyBorder="1"/>
    <xf numFmtId="0" fontId="4" fillId="0" borderId="7" xfId="0" applyFont="1" applyBorder="1"/>
    <xf numFmtId="0" fontId="4" fillId="3" borderId="7" xfId="0" applyFont="1" applyFill="1" applyBorder="1"/>
    <xf numFmtId="0" fontId="5" fillId="0" borderId="5" xfId="0" applyFont="1" applyBorder="1"/>
    <xf numFmtId="0" fontId="0" fillId="0" borderId="0" xfId="0" applyNumberFormat="1"/>
  </cellXfs>
  <cellStyles count="2">
    <cellStyle name="Normal" xfId="0" builtinId="0"/>
    <cellStyle name="Título 3" xfId="1" builtinId="18"/>
  </cellStyles>
  <dxfs count="24">
    <dxf>
      <fill>
        <patternFill>
          <bgColor theme="9" tint="0.59996337778862885"/>
        </patternFill>
      </fill>
    </dxf>
    <dxf>
      <fill>
        <patternFill>
          <bgColor rgb="FFFF0000"/>
        </patternFill>
      </fill>
    </dxf>
    <dxf>
      <fill>
        <patternFill>
          <bgColor theme="7" tint="0.79998168889431442"/>
        </patternFill>
      </fill>
    </dxf>
    <dxf>
      <numFmt numFmtId="0" formatCode="General"/>
    </dxf>
    <dxf>
      <font>
        <b val="0"/>
        <i val="0"/>
        <strike val="0"/>
        <condense val="0"/>
        <extend val="0"/>
        <outline val="0"/>
        <shadow val="0"/>
        <u val="none"/>
        <vertAlign val="baseline"/>
        <sz val="11"/>
        <color theme="4" tint="-0.249977111117893"/>
        <name val="Calibri"/>
        <family val="2"/>
        <scheme val="minor"/>
      </font>
      <numFmt numFmtId="164" formatCode="&quot;$&quot;#,##0.00"/>
      <border diagonalUp="0" diagonalDown="0">
        <left style="thin">
          <color theme="4" tint="0.39997558519241921"/>
        </left>
        <right/>
        <top/>
        <bottom/>
        <vertical/>
        <horizontal/>
      </border>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4" tint="-0.249977111117893"/>
        <name val="Calibri"/>
        <family val="2"/>
        <scheme val="minor"/>
      </font>
      <numFmt numFmtId="164" formatCode="&quot;$&quot;#,##0.00"/>
      <border diagonalUp="0" diagonalDown="0">
        <left style="thin">
          <color theme="4" tint="0.39997558519241921"/>
        </left>
        <right/>
        <top/>
        <bottom/>
        <vertical/>
        <horizontal/>
      </border>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numFmt numFmtId="164" formatCode="&quot;$&quot;#,##0.00"/>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indexed="64"/>
        </bottom>
      </border>
    </dxf>
    <dxf>
      <border outline="0">
        <bottom style="thin">
          <color indexed="64"/>
        </bottom>
      </border>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border outline="0">
        <bottom style="thin">
          <color indexed="64"/>
        </bottom>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microsoft.com/office/2007/relationships/slicerCache" Target="slicerCaches/slicerCache3.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absolute">
    <xdr:from>
      <xdr:col>7</xdr:col>
      <xdr:colOff>355600</xdr:colOff>
      <xdr:row>4</xdr:row>
      <xdr:rowOff>88900</xdr:rowOff>
    </xdr:from>
    <xdr:to>
      <xdr:col>10</xdr:col>
      <xdr:colOff>355600</xdr:colOff>
      <xdr:row>18</xdr:row>
      <xdr:rowOff>22225</xdr:rowOff>
    </xdr:to>
    <mc:AlternateContent xmlns:mc="http://schemas.openxmlformats.org/markup-compatibility/2006">
      <mc:Choice xmlns:sle15="http://schemas.microsoft.com/office/drawing/2012/slicer" Requires="sle15">
        <xdr:graphicFrame macro="">
          <xdr:nvGraphicFramePr>
            <xdr:cNvPr id="4" name="Category 1">
              <a:extLst>
                <a:ext uri="{FF2B5EF4-FFF2-40B4-BE49-F238E27FC236}">
                  <a16:creationId xmlns:a16="http://schemas.microsoft.com/office/drawing/2014/main" id="{002C2A4E-1E4A-19FA-43A7-4C1CA2B677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38700" y="82550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11</xdr:col>
      <xdr:colOff>527050</xdr:colOff>
      <xdr:row>3</xdr:row>
      <xdr:rowOff>0</xdr:rowOff>
    </xdr:from>
    <xdr:to>
      <xdr:col>14</xdr:col>
      <xdr:colOff>527050</xdr:colOff>
      <xdr:row>16</xdr:row>
      <xdr:rowOff>117475</xdr:rowOff>
    </xdr:to>
    <mc:AlternateContent xmlns:mc="http://schemas.openxmlformats.org/markup-compatibility/2006">
      <mc:Choice xmlns:sle15="http://schemas.microsoft.com/office/drawing/2012/slicer" Requires="sle15">
        <xdr:graphicFrame macro="">
          <xdr:nvGraphicFramePr>
            <xdr:cNvPr id="5" name="Item">
              <a:extLst>
                <a:ext uri="{FF2B5EF4-FFF2-40B4-BE49-F238E27FC236}">
                  <a16:creationId xmlns:a16="http://schemas.microsoft.com/office/drawing/2014/main" id="{B91FD382-2F11-F3B9-91C7-B0E1DDA9F39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448550" y="55245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28574</xdr:colOff>
      <xdr:row>9</xdr:row>
      <xdr:rowOff>52387</xdr:rowOff>
    </xdr:from>
    <xdr:to>
      <xdr:col>10</xdr:col>
      <xdr:colOff>552450</xdr:colOff>
      <xdr:row>14</xdr:row>
      <xdr:rowOff>76200</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E3AC318F-6E5B-6229-5ECC-75E831D834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10324" y="1681162"/>
              <a:ext cx="1819276" cy="9286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wng/Desktop/Starbuzz.xlsx" TargetMode="External"/><Relationship Id="rId2" Type="http://schemas.openxmlformats.org/officeDocument/2006/relationships/externalLinkPath" Target="file:///C:\Users\dawng\Desktop\Starbuzz.xlsx" TargetMode="External"/><Relationship Id="rId1" Type="http://schemas.openxmlformats.org/officeDocument/2006/relationships/externalLinkPath" Target="/Users/dawng/Desktop/Starbuz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Mac\Home\Desktop\Starbuzz.xlsx" TargetMode="External"/><Relationship Id="rId1" Type="http://schemas.openxmlformats.org/officeDocument/2006/relationships/externalLinkPath" Target="file:///\\Mac\Home\Desktop\Starbuz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s>
    <sheetDataSet>
      <sheetData sheetId="0"/>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172EAC-316E-49C1-900B-995DAF2ABA59}" sourceName="Salesperson">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y" xr10:uid="{5A22CD95-A496-431E-85F2-FEAD461A525C}" sourceName="Category">
  <extLst>
    <x:ext xmlns:x15="http://schemas.microsoft.com/office/spreadsheetml/2010/11/main" uri="{2F2917AC-EB37-4324-AD4E-5DD8C200BD13}">
      <x15:tableSlicerCache tableId="8"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Item" xr10:uid="{1621758F-5B37-4F94-8CFE-A04FC5704AE9}" sourceName="Item">
  <extLst>
    <x:ext xmlns:x15="http://schemas.microsoft.com/office/spreadsheetml/2010/11/main" uri="{2F2917AC-EB37-4324-AD4E-5DD8C200BD13}">
      <x15:tableSlicerCache tableId="8"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CB96455-1961-445F-9401-50645C1CEA5C}" cache="SegmentaçãodeDados_Category" caption="Category" rowHeight="241300"/>
  <slicer name="Item" xr10:uid="{51F2CFBB-3AD9-4FC7-95EA-30CFDBFDBF6A}" cache="SegmentaçãodeDados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1216962-3663-4182-9851-4277B031F1A4}" cache="Slicer_Category" caption="Salesperson"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3B18F-C2AA-41E2-BDD3-B61BF6C18164}" name="Table1" displayName="Table1" ref="A5:B11" totalsRowShown="0">
  <autoFilter ref="A5:B11" xr:uid="{1F53B18F-C2AA-41E2-BDD3-B61BF6C18164}"/>
  <tableColumns count="2">
    <tableColumn id="1" xr3:uid="{0BE31270-0B09-4022-B493-A739191C7F09}" name="Items"/>
    <tableColumn id="2" xr3:uid="{476B61E7-04A6-41F3-93E4-A664EA8FB8A0}"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6DA591-643D-456D-8BC8-F58B872CB816}" name="Table13" displayName="Table13" ref="A20:C27" totalsRowShown="0">
  <autoFilter ref="A20:C27" xr:uid="{E76DA591-643D-456D-8BC8-F58B872CB816}"/>
  <tableColumns count="3">
    <tableColumn id="1" xr3:uid="{3EB58060-C10F-4DF3-81BB-F2998D9A712B}" name="Items"/>
    <tableColumn id="2" xr3:uid="{F8A77932-1D42-474A-93DC-A94F862ECB22}" name="Sales"/>
    <tableColumn id="3" xr3:uid="{681DA07F-5E9A-476E-93E4-FEE28E26F9C3}" name="Another 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1D9BD6-D139-4AAE-8E1E-0AE0A6F96595}" name="Tabela6" displayName="Tabela6" ref="A1:A5" totalsRowShown="0" headerRowBorderDxfId="16">
  <tableColumns count="1">
    <tableColumn id="1" xr3:uid="{40276286-88DC-4540-A168-D61C94415D25}" name="Food"/>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D15F90-BBC3-448F-94F9-3B4BC6C621F7}" name="Tabela7" displayName="Tabela7" ref="B1:B4" totalsRowShown="0" headerRowBorderDxfId="15">
  <tableColumns count="1">
    <tableColumn id="1" xr3:uid="{96C51B1D-4E69-4D5B-B22B-515D49F82728}" name="Drink"/>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4AE7B0-406A-41DA-85DF-7139EF8226ED}" name="Tabela8" displayName="Tabela8" ref="A1:C7" totalsRowShown="0" headerRowDxfId="13" tableBorderDxfId="14">
  <autoFilter ref="A1:C7" xr:uid="{A94AE7B0-406A-41DA-85DF-7139EF8226ED}"/>
  <tableColumns count="3">
    <tableColumn id="1" xr3:uid="{5E77A7D0-28BF-4E12-B104-9AC6C1D4E497}" name="Category"/>
    <tableColumn id="2" xr3:uid="{E23DF484-C772-42BC-82B5-9974CF1949B7}" name="Item"/>
    <tableColumn id="3" xr3:uid="{03B6938D-E7A5-4F32-BFDD-1B59EF02CC7B}" name="Amoun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E07529-F981-451B-AC6F-88956CF4E059}" name="SalesTable" displayName="SalesTable" ref="A1:D7" totalsRowCount="1" headerRowBorderDxfId="23">
  <autoFilter ref="A1:D6" xr:uid="{2EE07529-F981-451B-AC6F-88956CF4E059}"/>
  <tableColumns count="4">
    <tableColumn id="1" xr3:uid="{B4B36B42-E41E-4CA8-9CDD-951E7C7CD154}" name="Salesperson" totalsRowLabel="Total"/>
    <tableColumn id="2" xr3:uid="{9C1F1C26-50D7-499F-8D04-33083ADD8ED0}" name="Jan" totalsRowFunction="sum" dataDxfId="22" totalsRowDxfId="21"/>
    <tableColumn id="3" xr3:uid="{2CC0DF87-6E18-4DF7-8175-7E523890EDCD}" name="Feb" totalsRowFunction="sum" dataDxfId="20" totalsRowDxfId="19"/>
    <tableColumn id="4" xr3:uid="{7AA2AC6E-004A-4255-882D-8B1FA5CFFFDC}" name="Mar" totalsRowFunction="sum" dataDxfId="18" totalsRowDxfId="17">
      <calculatedColumnFormula>SalesTable[[#This Row],[Feb]]*1.2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97DD9B0-C864-4224-81E6-E60031355EDB}" name="Tabela11" displayName="Tabela11" ref="A1:E7" totalsRowShown="0" headerRowDxfId="10" tableBorderDxfId="12">
  <autoFilter ref="A1:E7" xr:uid="{897DD9B0-C864-4224-81E6-E60031355EDB}"/>
  <tableColumns count="5">
    <tableColumn id="1" xr3:uid="{B94BE6F7-D63D-42AC-8C69-1D7AA1FE4F0F}" name="Salesperson"/>
    <tableColumn id="2" xr3:uid="{23BC8B03-83F8-43F5-A1BD-7AACEE5641D1}" name="Jan"/>
    <tableColumn id="3" xr3:uid="{15236764-248C-4826-B420-D4EA3E0B86B4}" name="Feb"/>
    <tableColumn id="4" xr3:uid="{3807A205-0F5D-4A35-924B-354E76806694}" name="Mar"/>
    <tableColumn id="5" xr3:uid="{4F747B58-A22F-4329-82B1-19D6751A5727}" name="totais" dataDxfId="11">
      <calculatedColumnFormula>SUM(B2:D2)</calculatedColumnFormula>
    </tableColumn>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7B3547C-9B1C-4BB4-8DF3-552B4152B6C0}" name="Tabela13" displayName="Tabela13" ref="G1:K7" totalsRowShown="0" headerRowDxfId="7" tableBorderDxfId="9">
  <autoFilter ref="G1:K7" xr:uid="{37B3547C-9B1C-4BB4-8DF3-552B4152B6C0}"/>
  <tableColumns count="5">
    <tableColumn id="1" xr3:uid="{715F3BDF-C80F-4255-8AEE-D3EA63DE1851}" name="Salesperson"/>
    <tableColumn id="2" xr3:uid="{33FDED05-7610-4C24-8271-1ABC9084A9C9}" name="Jan"/>
    <tableColumn id="3" xr3:uid="{C216916D-782E-4AAB-8359-4E53BD4AC761}" name="Feb"/>
    <tableColumn id="4" xr3:uid="{D74BF212-72BA-48F2-B6E6-73CB1B12A396}" name="Mar"/>
    <tableColumn id="5" xr3:uid="{83111A2C-2F91-445A-941E-C82F50189946}" name="totais" dataDxfId="8">
      <calculatedColumnFormula>SUM(H2:J2)</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E18F633-BA06-42A1-B0CE-C63A5A308DFD}" name="Tabela1315" displayName="Tabela1315" ref="A1:E7" totalsRowShown="0" headerRowDxfId="6" tableBorderDxfId="5">
  <autoFilter ref="A1:E7" xr:uid="{5E18F633-BA06-42A1-B0CE-C63A5A308DFD}"/>
  <tableColumns count="5">
    <tableColumn id="1" xr3:uid="{571A4396-2199-44F9-8296-C3EE27D6644E}" name="vendas_ano"/>
    <tableColumn id="2" xr3:uid="{4A42C4B1-D09F-49AA-907B-45FDD17A8153}" name="Jan"/>
    <tableColumn id="3" xr3:uid="{99C1189D-F96A-4DA1-B96D-23DAF8DF9C0C}" name="Feb"/>
    <tableColumn id="4" xr3:uid="{F3E8A37A-AA68-4F75-9CE9-AFE7E5B63531}" name="Mar"/>
    <tableColumn id="5" xr3:uid="{AB3C3659-D4A8-44B1-ACF6-7ABED68E11FE}" name="totais" dataDxfId="4">
      <calculatedColumnFormula>SUM(B2:D2)</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3555B1-48F8-4031-A350-C0FAA3822A20}" name="VENDAS_EU" displayName="VENDAS_EU" ref="A1:F7" totalsRowShown="0">
  <autoFilter ref="A1:F7" xr:uid="{DD3555B1-48F8-4031-A350-C0FAA3822A20}"/>
  <tableColumns count="6">
    <tableColumn id="1" xr3:uid="{034B2745-5D8A-4F7A-A7B4-E975B76005E4}" name="vendas_ano"/>
    <tableColumn id="2" xr3:uid="{45B94295-E3E5-4210-976C-17BDDD20F181}" name="Jan"/>
    <tableColumn id="3" xr3:uid="{BB1FE82E-7485-4629-A33D-E3458636A409}" name="Feb"/>
    <tableColumn id="4" xr3:uid="{0B8F55FF-3111-4C71-9BEB-EB2AAB73EC82}" name="Mar"/>
    <tableColumn id="5" xr3:uid="{D59B3119-0FA4-4979-BE8F-C37D0D5CF0D6}" name="TOTAL" dataDxfId="3">
      <calculatedColumnFormula>SUM(VENDAS_EU[[#This Row],[Jan]:[Mar]])</calculatedColumnFormula>
    </tableColumn>
    <tableColumn id="6" xr3:uid="{3351CFA5-F078-44ED-8312-A389350FE76C}" name="media "/>
  </tableColumns>
  <tableStyleInfo name="TableStyleLight9"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6.xml"/><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38D0-3C15-47B9-AD15-226607D48F82}">
  <dimension ref="A1:G9"/>
  <sheetViews>
    <sheetView topLeftCell="A5" workbookViewId="0">
      <selection activeCell="I17" sqref="I17"/>
    </sheetView>
  </sheetViews>
  <sheetFormatPr defaultRowHeight="14.5" x14ac:dyDescent="0.35"/>
  <cols>
    <col min="1" max="1" width="1.7265625" customWidth="1"/>
    <col min="2" max="2" width="1.26953125" customWidth="1"/>
    <col min="3" max="3" width="4.36328125" bestFit="1" customWidth="1"/>
    <col min="4" max="4" width="4.6328125" customWidth="1"/>
    <col min="5" max="5" width="4.453125" customWidth="1"/>
    <col min="6" max="6" width="8.08984375" customWidth="1"/>
  </cols>
  <sheetData>
    <row r="1" spans="1:7" hidden="1" x14ac:dyDescent="0.35">
      <c r="A1">
        <v>1</v>
      </c>
      <c r="B1">
        <v>4</v>
      </c>
      <c r="C1">
        <f>A1*B1</f>
        <v>4</v>
      </c>
      <c r="D1">
        <f>SUM(A1:B1)</f>
        <v>5</v>
      </c>
      <c r="E1">
        <f>SUM(A1:B1)*$G$1</f>
        <v>2.5</v>
      </c>
      <c r="G1">
        <v>0.5</v>
      </c>
    </row>
    <row r="2" spans="1:7" hidden="1" x14ac:dyDescent="0.35">
      <c r="A2">
        <v>2</v>
      </c>
      <c r="B2">
        <v>5</v>
      </c>
      <c r="C2">
        <f>A2*B2</f>
        <v>10</v>
      </c>
      <c r="D2">
        <f>SUM(A2:B2)</f>
        <v>7</v>
      </c>
      <c r="E2">
        <f>SUM(A2:B2)*$G$1</f>
        <v>3.5</v>
      </c>
    </row>
    <row r="3" spans="1:7" hidden="1" x14ac:dyDescent="0.35">
      <c r="A3">
        <v>3</v>
      </c>
      <c r="B3">
        <v>6</v>
      </c>
      <c r="C3">
        <f>A3*B3</f>
        <v>18</v>
      </c>
      <c r="D3">
        <f>SUM(A3:B3)</f>
        <v>9</v>
      </c>
      <c r="E3">
        <f>SUM(A3:B3)*$G$1</f>
        <v>4.5</v>
      </c>
    </row>
    <row r="4" spans="1:7" hidden="1" x14ac:dyDescent="0.35"/>
    <row r="5" spans="1:7" x14ac:dyDescent="0.35">
      <c r="C5" s="8" t="s">
        <v>1</v>
      </c>
      <c r="D5" s="8"/>
      <c r="E5" s="8"/>
    </row>
    <row r="6" spans="1:7" ht="15" thickBot="1" x14ac:dyDescent="0.4">
      <c r="C6" s="1">
        <v>1</v>
      </c>
      <c r="D6" s="1">
        <v>2</v>
      </c>
      <c r="E6" s="1">
        <v>3</v>
      </c>
    </row>
    <row r="7" spans="1:7" x14ac:dyDescent="0.35">
      <c r="A7" s="7" t="s">
        <v>0</v>
      </c>
      <c r="B7" s="2">
        <v>1</v>
      </c>
      <c r="C7">
        <f>$B7*C$6</f>
        <v>1</v>
      </c>
      <c r="D7">
        <f>$B7*D$6</f>
        <v>2</v>
      </c>
      <c r="E7">
        <f>$B7*E$6</f>
        <v>3</v>
      </c>
    </row>
    <row r="8" spans="1:7" x14ac:dyDescent="0.35">
      <c r="A8" s="7"/>
      <c r="B8" s="2">
        <v>2</v>
      </c>
      <c r="C8">
        <f t="shared" ref="C8:E9" si="0">$B8*C$6</f>
        <v>2</v>
      </c>
      <c r="D8">
        <f t="shared" si="0"/>
        <v>4</v>
      </c>
      <c r="E8">
        <f t="shared" si="0"/>
        <v>6</v>
      </c>
    </row>
    <row r="9" spans="1:7" x14ac:dyDescent="0.35">
      <c r="A9" s="7"/>
      <c r="B9" s="2">
        <v>3</v>
      </c>
      <c r="C9">
        <f t="shared" si="0"/>
        <v>3</v>
      </c>
      <c r="D9">
        <f t="shared" si="0"/>
        <v>6</v>
      </c>
      <c r="E9">
        <f t="shared" si="0"/>
        <v>9</v>
      </c>
    </row>
  </sheetData>
  <mergeCells count="2">
    <mergeCell ref="A7:A9"/>
    <mergeCell ref="C5: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3A65-89D5-4B16-8C0E-A50D62D1BA16}">
  <dimension ref="A1:G9"/>
  <sheetViews>
    <sheetView workbookViewId="0">
      <selection activeCell="D7" sqref="D7"/>
    </sheetView>
  </sheetViews>
  <sheetFormatPr defaultRowHeight="14.5" x14ac:dyDescent="0.35"/>
  <cols>
    <col min="1" max="1" width="1.7265625" customWidth="1"/>
    <col min="2" max="2" width="1.26953125" customWidth="1"/>
    <col min="3" max="3" width="4.36328125" bestFit="1" customWidth="1"/>
    <col min="4" max="4" width="4.6328125" customWidth="1"/>
    <col min="5" max="5" width="4.453125" customWidth="1"/>
  </cols>
  <sheetData>
    <row r="1" spans="1:7" x14ac:dyDescent="0.35">
      <c r="A1">
        <v>1</v>
      </c>
      <c r="B1">
        <v>4</v>
      </c>
      <c r="C1">
        <f>A1*B1</f>
        <v>4</v>
      </c>
      <c r="D1">
        <f>SUM(A1:B1)</f>
        <v>5</v>
      </c>
      <c r="E1">
        <f>SUM(A1:B1)*$G$1</f>
        <v>2.5</v>
      </c>
      <c r="G1">
        <v>0.5</v>
      </c>
    </row>
    <row r="2" spans="1:7" x14ac:dyDescent="0.35">
      <c r="A2">
        <v>2</v>
      </c>
      <c r="B2">
        <v>5</v>
      </c>
      <c r="C2">
        <f>A2*B2</f>
        <v>10</v>
      </c>
      <c r="D2">
        <f>SUM(A2:B2)</f>
        <v>7</v>
      </c>
      <c r="E2">
        <f>SUM(A2:B2)*$G$1</f>
        <v>3.5</v>
      </c>
    </row>
    <row r="3" spans="1:7" x14ac:dyDescent="0.35">
      <c r="A3">
        <v>3</v>
      </c>
      <c r="B3">
        <v>6</v>
      </c>
      <c r="C3">
        <f>A3*B3</f>
        <v>18</v>
      </c>
      <c r="D3">
        <f>SUM(A3:B3)</f>
        <v>9</v>
      </c>
      <c r="E3">
        <f>SUM(A3:B3)*$G$1</f>
        <v>4.5</v>
      </c>
    </row>
    <row r="5" spans="1:7" x14ac:dyDescent="0.35">
      <c r="C5" s="8" t="s">
        <v>1</v>
      </c>
      <c r="D5" s="8"/>
      <c r="E5" s="8"/>
    </row>
    <row r="6" spans="1:7" ht="15" thickBot="1" x14ac:dyDescent="0.4">
      <c r="C6" s="1">
        <v>1</v>
      </c>
      <c r="D6" s="1">
        <v>2</v>
      </c>
      <c r="E6" s="1">
        <v>3</v>
      </c>
    </row>
    <row r="7" spans="1:7" x14ac:dyDescent="0.35">
      <c r="A7" s="7" t="s">
        <v>0</v>
      </c>
      <c r="B7" s="2">
        <v>1</v>
      </c>
      <c r="C7">
        <f>$B7*C$6</f>
        <v>1</v>
      </c>
      <c r="D7">
        <f>$B7*D$6</f>
        <v>2</v>
      </c>
      <c r="E7">
        <f>$B7*E$6</f>
        <v>3</v>
      </c>
    </row>
    <row r="8" spans="1:7" x14ac:dyDescent="0.35">
      <c r="A8" s="7"/>
      <c r="B8" s="2">
        <v>2</v>
      </c>
      <c r="C8">
        <f t="shared" ref="C8:E9" si="0">$B8*C$6</f>
        <v>2</v>
      </c>
      <c r="D8">
        <f t="shared" si="0"/>
        <v>4</v>
      </c>
      <c r="E8">
        <f t="shared" si="0"/>
        <v>6</v>
      </c>
    </row>
    <row r="9" spans="1:7" x14ac:dyDescent="0.35">
      <c r="A9" s="7"/>
      <c r="B9" s="2">
        <v>3</v>
      </c>
      <c r="C9">
        <f t="shared" si="0"/>
        <v>3</v>
      </c>
      <c r="D9">
        <f t="shared" si="0"/>
        <v>6</v>
      </c>
      <c r="E9">
        <f t="shared" si="0"/>
        <v>9</v>
      </c>
    </row>
  </sheetData>
  <mergeCells count="2">
    <mergeCell ref="C5:E5"/>
    <mergeCell ref="A7: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B1AD-6F08-4D5B-AF25-E00EB2814F42}">
  <dimension ref="A1:B5"/>
  <sheetViews>
    <sheetView workbookViewId="0">
      <selection activeCell="C7" sqref="C7"/>
    </sheetView>
  </sheetViews>
  <sheetFormatPr defaultRowHeight="14.5" x14ac:dyDescent="0.35"/>
  <sheetData>
    <row r="1" spans="1:2" x14ac:dyDescent="0.35">
      <c r="A1">
        <v>5</v>
      </c>
      <c r="B1">
        <v>3</v>
      </c>
    </row>
    <row r="2" spans="1:2" x14ac:dyDescent="0.35">
      <c r="A2">
        <v>4</v>
      </c>
      <c r="B2">
        <v>2</v>
      </c>
    </row>
    <row r="3" spans="1:2" x14ac:dyDescent="0.35">
      <c r="A3">
        <v>3</v>
      </c>
      <c r="B3">
        <v>1</v>
      </c>
    </row>
    <row r="4" spans="1:2" x14ac:dyDescent="0.35">
      <c r="A4">
        <v>2</v>
      </c>
      <c r="B4">
        <v>4</v>
      </c>
    </row>
    <row r="5" spans="1:2" x14ac:dyDescent="0.35">
      <c r="A5">
        <v>1</v>
      </c>
      <c r="B5">
        <v>5</v>
      </c>
    </row>
  </sheetData>
  <conditionalFormatting sqref="A1:B5">
    <cfRule type="expression" dxfId="2" priority="1">
      <formula>A1&gt;$B$1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5344-2C17-407C-B6CC-33D6B1A970A3}">
  <dimension ref="A1:F3"/>
  <sheetViews>
    <sheetView workbookViewId="0">
      <selection activeCell="F8" sqref="F8"/>
    </sheetView>
  </sheetViews>
  <sheetFormatPr defaultRowHeight="14.5" x14ac:dyDescent="0.35"/>
  <sheetData>
    <row r="1" spans="1:6" x14ac:dyDescent="0.35">
      <c r="A1">
        <v>3</v>
      </c>
      <c r="B1">
        <v>3</v>
      </c>
      <c r="C1">
        <v>2</v>
      </c>
      <c r="D1">
        <v>0.2</v>
      </c>
      <c r="E1">
        <v>1</v>
      </c>
      <c r="F1">
        <v>0.6</v>
      </c>
    </row>
    <row r="2" spans="1:6" x14ac:dyDescent="0.35">
      <c r="A2">
        <v>2</v>
      </c>
      <c r="B2">
        <v>1</v>
      </c>
      <c r="C2">
        <v>3</v>
      </c>
      <c r="D2">
        <v>0.2</v>
      </c>
      <c r="E2">
        <v>2</v>
      </c>
      <c r="F2">
        <v>3</v>
      </c>
    </row>
    <row r="3" spans="1:6" x14ac:dyDescent="0.35">
      <c r="A3">
        <v>1</v>
      </c>
      <c r="B3">
        <v>2</v>
      </c>
      <c r="C3">
        <v>1</v>
      </c>
      <c r="D3">
        <v>3</v>
      </c>
      <c r="E3">
        <v>3</v>
      </c>
      <c r="F3">
        <v>2</v>
      </c>
    </row>
  </sheetData>
  <conditionalFormatting sqref="A1:F3">
    <cfRule type="expression" dxfId="1" priority="1">
      <formula>A1&lt;$A$3</formula>
    </cfRule>
    <cfRule type="expression" dxfId="0" priority="2">
      <formula>A1&gt;$A$3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5156-AA1A-441E-9D3E-7A84B3D7DFF9}">
  <dimension ref="A1"/>
  <sheetViews>
    <sheetView workbookViewId="0"/>
  </sheetViews>
  <sheetFormatPr defaultRowHeight="14.5" x14ac:dyDescent="0.35"/>
  <sheetData>
    <row r="1" spans="1:1" x14ac:dyDescent="0.35">
      <c r="A1">
        <f>C2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E55E-46E4-477F-9F46-531CFE47F289}">
  <dimension ref="A1"/>
  <sheetViews>
    <sheetView workbookViewId="0">
      <selection activeCell="B1" sqref="B1"/>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D452-8B5F-4319-9140-F61DA7A4E8B3}">
  <dimension ref="A1:B2"/>
  <sheetViews>
    <sheetView workbookViewId="0"/>
  </sheetViews>
  <sheetFormatPr defaultRowHeight="14.5" x14ac:dyDescent="0.35"/>
  <sheetData>
    <row r="1" spans="1:2" x14ac:dyDescent="0.35">
      <c r="A1">
        <f>[1]Summary!$A$1</f>
        <v>0</v>
      </c>
    </row>
    <row r="2" spans="1:2" x14ac:dyDescent="0.35">
      <c r="B2">
        <f>[2]Summary!$B$1</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26A9-BCA3-46B8-9B38-059E18A1DEF3}">
  <dimension ref="A1:C9"/>
  <sheetViews>
    <sheetView workbookViewId="0">
      <selection activeCell="A10" sqref="A10"/>
    </sheetView>
  </sheetViews>
  <sheetFormatPr defaultRowHeight="14.5" x14ac:dyDescent="0.35"/>
  <sheetData>
    <row r="1" spans="1:3" x14ac:dyDescent="0.35">
      <c r="A1">
        <f>SUM(HR:Sales!B1)</f>
        <v>54889.72</v>
      </c>
      <c r="C1" t="str">
        <f>_xlfn.TEXTJOIN(" ", TRUE, HR:Sales!B1)</f>
        <v>-14834,87 -6873,97 76598,56</v>
      </c>
    </row>
    <row r="2" spans="1:3" x14ac:dyDescent="0.35">
      <c r="C2" t="str">
        <f>_xlfn.CONCAT(HR:Sales!B1)</f>
        <v>-14834,87-6873,9776598,56</v>
      </c>
    </row>
    <row r="3" spans="1:3" x14ac:dyDescent="0.35">
      <c r="A3" cm="1">
        <f t="array" ref="A3:A5">_xlfn.VSTACK(HR:Sales!B1)</f>
        <v>-14834.87</v>
      </c>
    </row>
    <row r="4" spans="1:3" x14ac:dyDescent="0.35">
      <c r="A4">
        <v>-6873.97</v>
      </c>
    </row>
    <row r="5" spans="1:3" x14ac:dyDescent="0.35">
      <c r="A5">
        <v>76598.559999999998</v>
      </c>
    </row>
    <row r="9" spans="1:3" x14ac:dyDescent="0.35">
      <c r="A9">
        <f>SUM(HR:Sales!B1)</f>
        <v>54889.72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EFE3-6F19-4C7B-8C85-F2E3D840D1CA}">
  <dimension ref="A1:B1"/>
  <sheetViews>
    <sheetView workbookViewId="0">
      <selection activeCell="B1" sqref="B1"/>
    </sheetView>
  </sheetViews>
  <sheetFormatPr defaultRowHeight="14.5" x14ac:dyDescent="0.35"/>
  <sheetData>
    <row r="1" spans="1:2" x14ac:dyDescent="0.35">
      <c r="A1" t="s">
        <v>2</v>
      </c>
      <c r="B1">
        <v>-14834.87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2D65-A1B9-4AB5-A64B-2FCFA4288074}">
  <dimension ref="A1:B1"/>
  <sheetViews>
    <sheetView workbookViewId="0">
      <selection activeCell="Q16" sqref="Q16"/>
    </sheetView>
  </sheetViews>
  <sheetFormatPr defaultRowHeight="14.5" x14ac:dyDescent="0.35"/>
  <sheetData>
    <row r="1" spans="1:2" x14ac:dyDescent="0.35">
      <c r="A1" t="s">
        <v>2</v>
      </c>
      <c r="B1">
        <v>-6873.97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4CEE-02C6-4108-989F-D7D84AB0346F}">
  <dimension ref="A1:B1"/>
  <sheetViews>
    <sheetView workbookViewId="0">
      <selection activeCell="D5" sqref="D5"/>
    </sheetView>
  </sheetViews>
  <sheetFormatPr defaultRowHeight="14.5" x14ac:dyDescent="0.35"/>
  <sheetData>
    <row r="1" spans="1:2" x14ac:dyDescent="0.35">
      <c r="A1" t="s">
        <v>2</v>
      </c>
      <c r="B1">
        <v>76598.559999999998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28AB-F305-4194-A594-E805DCD19C96}">
  <dimension ref="A1:I27"/>
  <sheetViews>
    <sheetView topLeftCell="A8" workbookViewId="0">
      <selection activeCell="G19" sqref="G18:G19"/>
    </sheetView>
  </sheetViews>
  <sheetFormatPr defaultRowHeight="14.5" x14ac:dyDescent="0.35"/>
  <cols>
    <col min="1" max="1" width="9.90625" bestFit="1" customWidth="1"/>
    <col min="3" max="3" width="20.36328125" customWidth="1"/>
    <col min="11" max="11" width="9.36328125" bestFit="1" customWidth="1"/>
  </cols>
  <sheetData>
    <row r="1" spans="1:9" hidden="1" x14ac:dyDescent="0.35">
      <c r="A1" t="s">
        <v>4</v>
      </c>
      <c r="B1">
        <v>1278.8900000000001</v>
      </c>
      <c r="H1" t="str" cm="1">
        <f t="array" ref="H1:H6">Items</f>
        <v>Pizza</v>
      </c>
      <c r="I1" t="str" cm="1">
        <f t="array" aca="1" ref="I1:I3" ca="1">LastThreeItems</f>
        <v>Soup</v>
      </c>
    </row>
    <row r="2" spans="1:9" hidden="1" x14ac:dyDescent="0.35">
      <c r="A2" t="s">
        <v>5</v>
      </c>
      <c r="B2">
        <v>187.45</v>
      </c>
      <c r="H2" t="str">
        <v>Burger</v>
      </c>
      <c r="I2" t="str">
        <f ca="1"/>
        <v>Samosa</v>
      </c>
    </row>
    <row r="3" spans="1:9" hidden="1" x14ac:dyDescent="0.35">
      <c r="H3" t="str">
        <v>Tea</v>
      </c>
      <c r="I3" t="str">
        <f ca="1"/>
        <v>Cake</v>
      </c>
    </row>
    <row r="4" spans="1:9" hidden="1" x14ac:dyDescent="0.35">
      <c r="H4" t="str">
        <v>Coffee</v>
      </c>
    </row>
    <row r="5" spans="1:9" x14ac:dyDescent="0.35">
      <c r="A5" t="s">
        <v>3</v>
      </c>
      <c r="B5" t="s">
        <v>6</v>
      </c>
      <c r="H5" t="str">
        <v>Samosa</v>
      </c>
    </row>
    <row r="6" spans="1:9" x14ac:dyDescent="0.35">
      <c r="A6" t="s">
        <v>7</v>
      </c>
      <c r="B6">
        <v>3456.43</v>
      </c>
      <c r="H6" t="str">
        <v>Cake</v>
      </c>
    </row>
    <row r="7" spans="1:9" x14ac:dyDescent="0.35">
      <c r="A7" t="s">
        <v>8</v>
      </c>
      <c r="B7">
        <v>32876.230000000003</v>
      </c>
    </row>
    <row r="8" spans="1:9" x14ac:dyDescent="0.35">
      <c r="A8" t="s">
        <v>9</v>
      </c>
      <c r="B8">
        <v>3456.12</v>
      </c>
    </row>
    <row r="9" spans="1:9" x14ac:dyDescent="0.35">
      <c r="A9" t="s">
        <v>10</v>
      </c>
      <c r="B9">
        <v>54391.86</v>
      </c>
    </row>
    <row r="10" spans="1:9" x14ac:dyDescent="0.35">
      <c r="A10" t="s">
        <v>13</v>
      </c>
      <c r="B10">
        <v>7907843</v>
      </c>
    </row>
    <row r="11" spans="1:9" x14ac:dyDescent="0.35">
      <c r="A11" t="s">
        <v>17</v>
      </c>
      <c r="B11">
        <v>789690</v>
      </c>
    </row>
    <row r="20" spans="1:3" x14ac:dyDescent="0.35">
      <c r="A20" t="s">
        <v>3</v>
      </c>
      <c r="B20" t="s">
        <v>6</v>
      </c>
      <c r="C20" t="s">
        <v>11</v>
      </c>
    </row>
    <row r="21" spans="1:3" x14ac:dyDescent="0.35">
      <c r="A21" t="s">
        <v>7</v>
      </c>
      <c r="B21">
        <v>3456.43</v>
      </c>
    </row>
    <row r="22" spans="1:3" x14ac:dyDescent="0.35">
      <c r="A22" t="s">
        <v>8</v>
      </c>
      <c r="B22">
        <v>32876.230000000003</v>
      </c>
      <c r="C22" t="s">
        <v>12</v>
      </c>
    </row>
    <row r="23" spans="1:3" x14ac:dyDescent="0.35">
      <c r="A23" t="s">
        <v>9</v>
      </c>
      <c r="B23">
        <v>3456.12</v>
      </c>
    </row>
    <row r="24" spans="1:3" x14ac:dyDescent="0.35">
      <c r="A24" t="s">
        <v>10</v>
      </c>
      <c r="B24">
        <v>54391.86</v>
      </c>
    </row>
    <row r="25" spans="1:3" x14ac:dyDescent="0.35">
      <c r="A25" t="s">
        <v>13</v>
      </c>
      <c r="B25">
        <v>7907843</v>
      </c>
    </row>
    <row r="26" spans="1:3" x14ac:dyDescent="0.35">
      <c r="A26" t="s">
        <v>16</v>
      </c>
      <c r="B26">
        <v>789709</v>
      </c>
    </row>
    <row r="27" spans="1:3" x14ac:dyDescent="0.35">
      <c r="A27" t="s">
        <v>17</v>
      </c>
      <c r="B27">
        <v>678969</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A7EC-0C45-4853-A3A6-DE108B4B1563}">
  <dimension ref="A1:D7"/>
  <sheetViews>
    <sheetView workbookViewId="0">
      <selection activeCell="E10" sqref="E10"/>
    </sheetView>
  </sheetViews>
  <sheetFormatPr defaultRowHeight="14.5" x14ac:dyDescent="0.35"/>
  <sheetData>
    <row r="1" spans="1:4" x14ac:dyDescent="0.35">
      <c r="A1" s="3" t="s">
        <v>3</v>
      </c>
      <c r="D1" t="str" cm="1">
        <f t="array" aca="1" ref="D1:D3" ca="1">LastThreeItems</f>
        <v>Soup</v>
      </c>
    </row>
    <row r="2" spans="1:4" x14ac:dyDescent="0.35">
      <c r="A2" t="s">
        <v>7</v>
      </c>
      <c r="D2" t="str">
        <f ca="1"/>
        <v>Samosa</v>
      </c>
    </row>
    <row r="3" spans="1:4" x14ac:dyDescent="0.35">
      <c r="A3" t="s">
        <v>8</v>
      </c>
      <c r="D3" t="str">
        <f ca="1"/>
        <v>Cake</v>
      </c>
    </row>
    <row r="4" spans="1:4" x14ac:dyDescent="0.35">
      <c r="A4" t="s">
        <v>14</v>
      </c>
    </row>
    <row r="5" spans="1:4" x14ac:dyDescent="0.35">
      <c r="A5" t="s">
        <v>15</v>
      </c>
    </row>
    <row r="6" spans="1:4" x14ac:dyDescent="0.35">
      <c r="A6" t="s">
        <v>13</v>
      </c>
    </row>
    <row r="7" spans="1:4" x14ac:dyDescent="0.35">
      <c r="A7" t="s">
        <v>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A16E7-B838-40E6-980E-878995D67E54}">
  <dimension ref="A1:F3"/>
  <sheetViews>
    <sheetView workbookViewId="0">
      <selection activeCell="J8" sqref="J8"/>
    </sheetView>
  </sheetViews>
  <sheetFormatPr defaultRowHeight="14.5" x14ac:dyDescent="0.35"/>
  <cols>
    <col min="3" max="3" width="9.1796875" bestFit="1" customWidth="1"/>
  </cols>
  <sheetData>
    <row r="1" spans="1:6" x14ac:dyDescent="0.35">
      <c r="A1">
        <v>0</v>
      </c>
      <c r="C1" s="4">
        <f ca="1">TODAY()</f>
        <v>46260</v>
      </c>
      <c r="F1" t="s">
        <v>10</v>
      </c>
    </row>
    <row r="2" spans="1:6" x14ac:dyDescent="0.35">
      <c r="F2" t="s">
        <v>9</v>
      </c>
    </row>
    <row r="3" spans="1:6" x14ac:dyDescent="0.35">
      <c r="A3">
        <v>-1</v>
      </c>
      <c r="F3" t="s">
        <v>8</v>
      </c>
    </row>
  </sheetData>
  <dataValidations count="3">
    <dataValidation type="whole" operator="greaterThan" allowBlank="1" showInputMessage="1" showErrorMessage="1" sqref="A1:A10" xr:uid="{7F8CC3B0-5912-42B4-9253-0E987CF802CC}">
      <formula1>0</formula1>
    </dataValidation>
    <dataValidation type="custom" allowBlank="1" showInputMessage="1" showErrorMessage="1" sqref="C1:C10" xr:uid="{B4F7BE37-E238-4573-BBDE-982DA8CB481C}">
      <formula1>NOT(OR(WEEKDAY(C1)=1,WEEKDAY(C1)=7))</formula1>
    </dataValidation>
    <dataValidation type="list" allowBlank="1" showInputMessage="1" showErrorMessage="1" sqref="F2:F10 F1" xr:uid="{17470EDE-6324-447A-8087-978830370C44}">
      <formula1>INDIRECT("Table1[Items]")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49EB2-1DE7-451F-AE3F-49841459F8C0}">
  <dimension ref="A1:E5"/>
  <sheetViews>
    <sheetView workbookViewId="0">
      <selection activeCell="L11" sqref="L11"/>
    </sheetView>
  </sheetViews>
  <sheetFormatPr defaultRowHeight="14.5" x14ac:dyDescent="0.35"/>
  <cols>
    <col min="1" max="1" width="7" customWidth="1"/>
    <col min="2" max="2" width="7.26953125" customWidth="1"/>
    <col min="3" max="3" width="2.08984375" customWidth="1"/>
    <col min="4" max="5" width="8.36328125" customWidth="1"/>
  </cols>
  <sheetData>
    <row r="1" spans="1:5" x14ac:dyDescent="0.35">
      <c r="A1" s="3" t="s">
        <v>18</v>
      </c>
      <c r="B1" s="3" t="s">
        <v>19</v>
      </c>
      <c r="D1" s="3" t="s">
        <v>20</v>
      </c>
      <c r="E1" s="3" t="s">
        <v>21</v>
      </c>
    </row>
    <row r="2" spans="1:5" x14ac:dyDescent="0.35">
      <c r="A2" t="s">
        <v>8</v>
      </c>
      <c r="B2" t="s">
        <v>10</v>
      </c>
      <c r="D2" t="s">
        <v>18</v>
      </c>
      <c r="E2" t="s">
        <v>17</v>
      </c>
    </row>
    <row r="3" spans="1:5" x14ac:dyDescent="0.35">
      <c r="A3" t="s">
        <v>17</v>
      </c>
      <c r="B3" t="s">
        <v>16</v>
      </c>
      <c r="D3" t="s">
        <v>19</v>
      </c>
      <c r="E3" t="s">
        <v>16</v>
      </c>
    </row>
    <row r="4" spans="1:5" x14ac:dyDescent="0.35">
      <c r="A4" t="s">
        <v>7</v>
      </c>
      <c r="B4" t="s">
        <v>9</v>
      </c>
      <c r="D4" t="s">
        <v>19</v>
      </c>
      <c r="E4" t="s">
        <v>16</v>
      </c>
    </row>
    <row r="5" spans="1:5" x14ac:dyDescent="0.35">
      <c r="A5" t="s">
        <v>14</v>
      </c>
      <c r="D5" t="s">
        <v>19</v>
      </c>
      <c r="E5" t="s">
        <v>9</v>
      </c>
    </row>
  </sheetData>
  <dataValidations count="2">
    <dataValidation type="list" allowBlank="1" showInputMessage="1" showErrorMessage="1" sqref="D2:D20" xr:uid="{46AA5D3E-7A3A-4A2B-A21B-C1A40D95C483}">
      <formula1>$A$1:$B$1</formula1>
    </dataValidation>
    <dataValidation type="list" allowBlank="1" showInputMessage="1" showErrorMessage="1" sqref="E3:E10 E2" xr:uid="{AC960706-5CD7-4CBD-B18B-D0C1664982CF}">
      <formula1>INDIRECT(D2)</formula1>
    </dataValidation>
  </dataValidation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C54A-203D-46A5-A149-461A520A3B8A}">
  <dimension ref="A1:D9"/>
  <sheetViews>
    <sheetView workbookViewId="0">
      <selection activeCell="J12" sqref="J11:J12"/>
    </sheetView>
  </sheetViews>
  <sheetFormatPr defaultRowHeight="14.5" x14ac:dyDescent="0.35"/>
  <cols>
    <col min="1" max="1" width="10.1796875" bestFit="1" customWidth="1"/>
    <col min="2" max="2" width="8.6328125" customWidth="1"/>
    <col min="3" max="3" width="8.36328125" customWidth="1"/>
    <col min="4" max="4" width="10.453125" bestFit="1" customWidth="1"/>
  </cols>
  <sheetData>
    <row r="1" spans="1:4" x14ac:dyDescent="0.35">
      <c r="A1" s="3" t="s">
        <v>20</v>
      </c>
      <c r="B1" s="3" t="s">
        <v>21</v>
      </c>
      <c r="C1" s="3" t="s">
        <v>22</v>
      </c>
      <c r="D1" s="9" t="s">
        <v>40</v>
      </c>
    </row>
    <row r="3" spans="1:4" x14ac:dyDescent="0.35">
      <c r="A3" t="s">
        <v>18</v>
      </c>
      <c r="B3" t="s">
        <v>7</v>
      </c>
      <c r="C3" s="5">
        <v>15.87</v>
      </c>
    </row>
    <row r="4" spans="1:4" x14ac:dyDescent="0.35">
      <c r="A4" t="s">
        <v>18</v>
      </c>
      <c r="B4" t="s">
        <v>7</v>
      </c>
      <c r="C4" s="5">
        <v>18.53</v>
      </c>
    </row>
    <row r="5" spans="1:4" x14ac:dyDescent="0.35">
      <c r="A5" t="s">
        <v>19</v>
      </c>
      <c r="B5" t="s">
        <v>10</v>
      </c>
      <c r="C5" s="5">
        <v>3.76</v>
      </c>
    </row>
    <row r="6" spans="1:4" x14ac:dyDescent="0.35">
      <c r="A6" t="s">
        <v>19</v>
      </c>
      <c r="B6" t="s">
        <v>9</v>
      </c>
      <c r="C6" s="5">
        <v>5.34</v>
      </c>
    </row>
    <row r="7" spans="1:4" x14ac:dyDescent="0.35">
      <c r="A7" t="s">
        <v>38</v>
      </c>
      <c r="B7" t="s">
        <v>39</v>
      </c>
      <c r="C7" s="5">
        <v>125</v>
      </c>
    </row>
    <row r="8" spans="1:4" x14ac:dyDescent="0.35">
      <c r="C8" s="5"/>
    </row>
    <row r="9" spans="1:4" x14ac:dyDescent="0.35">
      <c r="C9" s="5"/>
    </row>
  </sheetData>
  <sortState xmlns:xlrd2="http://schemas.microsoft.com/office/spreadsheetml/2017/richdata2" ref="A2:B6">
    <sortCondition descending="1" ref="A1:A6"/>
  </sortState>
  <dataConsolid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D49B-44EB-426E-89A2-AB51E4A28200}">
  <dimension ref="A1:R16"/>
  <sheetViews>
    <sheetView workbookViewId="0">
      <selection activeCell="K8" sqref="K8"/>
    </sheetView>
  </sheetViews>
  <sheetFormatPr defaultRowHeight="14.5" x14ac:dyDescent="0.35"/>
  <cols>
    <col min="1" max="1" width="7.7265625" bestFit="1" customWidth="1"/>
    <col min="2" max="2" width="6" bestFit="1" customWidth="1"/>
    <col min="3" max="3" width="7.08984375" bestFit="1" customWidth="1"/>
    <col min="4" max="4" width="1.36328125" customWidth="1"/>
    <col min="5" max="5" width="4.6328125" customWidth="1"/>
    <col min="6" max="6" width="2.54296875" customWidth="1"/>
    <col min="7" max="7" width="3.6328125" customWidth="1"/>
  </cols>
  <sheetData>
    <row r="1" spans="1:18" x14ac:dyDescent="0.35">
      <c r="A1" s="8" t="s">
        <v>23</v>
      </c>
      <c r="B1" s="8"/>
      <c r="C1" s="8"/>
      <c r="P1" s="3" t="s">
        <v>20</v>
      </c>
      <c r="Q1" s="3" t="s">
        <v>21</v>
      </c>
      <c r="R1" s="3" t="s">
        <v>22</v>
      </c>
    </row>
    <row r="2" spans="1:18" x14ac:dyDescent="0.35">
      <c r="A2" s="3" t="s">
        <v>20</v>
      </c>
      <c r="B2" s="3" t="s">
        <v>21</v>
      </c>
      <c r="C2" s="3" t="s">
        <v>22</v>
      </c>
      <c r="P2" t="s">
        <v>19</v>
      </c>
      <c r="Q2" t="s">
        <v>10</v>
      </c>
      <c r="R2" s="5">
        <v>3.76</v>
      </c>
    </row>
    <row r="3" spans="1:18" x14ac:dyDescent="0.35">
      <c r="A3" t="str">
        <f>"=Food"</f>
        <v>=Food</v>
      </c>
      <c r="P3" t="s">
        <v>19</v>
      </c>
      <c r="Q3" t="s">
        <v>10</v>
      </c>
      <c r="R3" s="5">
        <v>4.2300000000000004</v>
      </c>
    </row>
    <row r="4" spans="1:18" x14ac:dyDescent="0.35">
      <c r="B4" t="s">
        <v>24</v>
      </c>
      <c r="P4" t="s">
        <v>18</v>
      </c>
      <c r="Q4" t="s">
        <v>17</v>
      </c>
      <c r="R4" s="5">
        <v>10.76</v>
      </c>
    </row>
    <row r="5" spans="1:18" x14ac:dyDescent="0.35">
      <c r="P5" t="s">
        <v>18</v>
      </c>
      <c r="Q5" t="s">
        <v>17</v>
      </c>
      <c r="R5" s="5">
        <v>12.54</v>
      </c>
    </row>
    <row r="6" spans="1:18" x14ac:dyDescent="0.35">
      <c r="A6" s="3" t="s">
        <v>20</v>
      </c>
      <c r="B6" s="3" t="s">
        <v>21</v>
      </c>
      <c r="C6" s="3" t="s">
        <v>22</v>
      </c>
      <c r="P6" t="s">
        <v>18</v>
      </c>
      <c r="Q6" t="s">
        <v>8</v>
      </c>
      <c r="R6" s="5">
        <v>12.95</v>
      </c>
    </row>
    <row r="7" spans="1:18" x14ac:dyDescent="0.35">
      <c r="A7" t="s">
        <v>19</v>
      </c>
      <c r="B7" t="s">
        <v>10</v>
      </c>
      <c r="C7" s="5">
        <v>3.76</v>
      </c>
      <c r="P7" t="s">
        <v>18</v>
      </c>
      <c r="Q7" t="s">
        <v>7</v>
      </c>
      <c r="R7" s="5">
        <v>15.87</v>
      </c>
    </row>
    <row r="8" spans="1:18" x14ac:dyDescent="0.35">
      <c r="A8" t="s">
        <v>19</v>
      </c>
      <c r="B8" t="s">
        <v>10</v>
      </c>
      <c r="C8" s="5">
        <v>4.2300000000000004</v>
      </c>
      <c r="P8" t="s">
        <v>18</v>
      </c>
      <c r="Q8" t="s">
        <v>7</v>
      </c>
      <c r="R8" s="5">
        <v>18.53</v>
      </c>
    </row>
    <row r="9" spans="1:18" x14ac:dyDescent="0.35">
      <c r="A9" t="s">
        <v>19</v>
      </c>
      <c r="B9" t="s">
        <v>9</v>
      </c>
      <c r="C9" s="5">
        <v>5.34</v>
      </c>
    </row>
    <row r="10" spans="1:18" x14ac:dyDescent="0.35">
      <c r="A10" t="s">
        <v>18</v>
      </c>
      <c r="B10" t="s">
        <v>17</v>
      </c>
      <c r="C10" s="5">
        <v>10.76</v>
      </c>
    </row>
    <row r="11" spans="1:18" x14ac:dyDescent="0.35">
      <c r="A11" t="s">
        <v>18</v>
      </c>
      <c r="B11" t="s">
        <v>17</v>
      </c>
      <c r="C11" s="5">
        <v>12.54</v>
      </c>
    </row>
    <row r="12" spans="1:18" x14ac:dyDescent="0.35">
      <c r="A12" t="s">
        <v>18</v>
      </c>
      <c r="B12" t="s">
        <v>8</v>
      </c>
      <c r="C12" s="5">
        <v>12.95</v>
      </c>
    </row>
    <row r="13" spans="1:18" x14ac:dyDescent="0.35">
      <c r="A13" t="s">
        <v>18</v>
      </c>
      <c r="B13" t="s">
        <v>7</v>
      </c>
      <c r="C13" s="5">
        <v>15.87</v>
      </c>
    </row>
    <row r="14" spans="1:18" x14ac:dyDescent="0.35">
      <c r="A14" t="s">
        <v>18</v>
      </c>
      <c r="B14" t="s">
        <v>7</v>
      </c>
      <c r="C14" s="5">
        <v>18.53</v>
      </c>
    </row>
    <row r="15" spans="1:18" x14ac:dyDescent="0.35">
      <c r="C15" s="5">
        <f>SUM(C7:C14)</f>
        <v>83.98</v>
      </c>
    </row>
    <row r="16" spans="1:18" x14ac:dyDescent="0.35">
      <c r="J16" t="s">
        <v>18</v>
      </c>
      <c r="K16" t="s">
        <v>17</v>
      </c>
      <c r="L16" s="5">
        <v>10.76</v>
      </c>
    </row>
  </sheetData>
  <sortState xmlns:xlrd2="http://schemas.microsoft.com/office/spreadsheetml/2017/richdata2" ref="A11:C14">
    <sortCondition ref="C11:C14"/>
  </sortState>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B15F-6F8C-4B27-8BB5-7506E1379EAB}">
  <dimension ref="A1:C9"/>
  <sheetViews>
    <sheetView workbookViewId="0">
      <selection activeCell="G11" sqref="G11"/>
    </sheetView>
  </sheetViews>
  <sheetFormatPr defaultRowHeight="14.5" outlineLevelRow="2" x14ac:dyDescent="0.35"/>
  <cols>
    <col min="1" max="1" width="8.54296875" customWidth="1"/>
    <col min="2" max="2" width="7.1796875" customWidth="1"/>
    <col min="3" max="3" width="9" customWidth="1"/>
    <col min="4" max="4" width="9.81640625" customWidth="1"/>
    <col min="5" max="5" width="9.1796875" customWidth="1"/>
  </cols>
  <sheetData>
    <row r="1" spans="1:3" x14ac:dyDescent="0.35">
      <c r="A1" s="3" t="s">
        <v>20</v>
      </c>
      <c r="B1" s="3" t="s">
        <v>21</v>
      </c>
      <c r="C1" s="3" t="s">
        <v>22</v>
      </c>
    </row>
    <row r="2" spans="1:3" outlineLevel="2" x14ac:dyDescent="0.35">
      <c r="A2" t="s">
        <v>19</v>
      </c>
      <c r="B2" t="s">
        <v>10</v>
      </c>
      <c r="C2" s="5">
        <v>3.76</v>
      </c>
    </row>
    <row r="3" spans="1:3" outlineLevel="2" x14ac:dyDescent="0.35">
      <c r="A3" t="s">
        <v>19</v>
      </c>
      <c r="B3" t="s">
        <v>9</v>
      </c>
      <c r="C3" s="5">
        <v>5.34</v>
      </c>
    </row>
    <row r="4" spans="1:3" outlineLevel="1" x14ac:dyDescent="0.35">
      <c r="A4" s="6" t="s">
        <v>26</v>
      </c>
      <c r="C4" s="5">
        <f>SUBTOTAL(9,C2:C3)</f>
        <v>9.1</v>
      </c>
    </row>
    <row r="5" spans="1:3" outlineLevel="2" x14ac:dyDescent="0.35">
      <c r="A5" t="s">
        <v>18</v>
      </c>
      <c r="B5" t="s">
        <v>17</v>
      </c>
      <c r="C5" s="5">
        <v>12.54</v>
      </c>
    </row>
    <row r="6" spans="1:3" outlineLevel="2" x14ac:dyDescent="0.35">
      <c r="A6" t="s">
        <v>18</v>
      </c>
      <c r="B6" t="s">
        <v>7</v>
      </c>
      <c r="C6" s="5">
        <v>15.87</v>
      </c>
    </row>
    <row r="7" spans="1:3" outlineLevel="2" x14ac:dyDescent="0.35">
      <c r="A7" t="s">
        <v>18</v>
      </c>
      <c r="B7" t="s">
        <v>7</v>
      </c>
      <c r="C7" s="5">
        <v>18.53</v>
      </c>
    </row>
    <row r="8" spans="1:3" outlineLevel="1" x14ac:dyDescent="0.35">
      <c r="A8" s="6" t="s">
        <v>25</v>
      </c>
      <c r="C8" s="5">
        <f>SUBTOTAL(9,C5:C7)</f>
        <v>46.94</v>
      </c>
    </row>
    <row r="9" spans="1:3" x14ac:dyDescent="0.35">
      <c r="A9" s="6" t="s">
        <v>27</v>
      </c>
      <c r="C9" s="5">
        <f>SUBTOTAL(9,C2:C7)</f>
        <v>56.04</v>
      </c>
    </row>
  </sheetData>
  <sortState xmlns:xlrd2="http://schemas.microsoft.com/office/spreadsheetml/2017/richdata2" ref="A2:C7">
    <sortCondition ref="A2:A7"/>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6CC3-79A1-4A94-8995-CC586D956FD4}">
  <dimension ref="A1:C14"/>
  <sheetViews>
    <sheetView workbookViewId="0">
      <selection activeCell="H18" sqref="H18"/>
    </sheetView>
  </sheetViews>
  <sheetFormatPr defaultRowHeight="14.5" outlineLevelRow="2" outlineLevelCol="1" x14ac:dyDescent="0.35"/>
  <cols>
    <col min="1" max="1" width="8.54296875" customWidth="1"/>
    <col min="2" max="2" width="7.1796875" hidden="1" customWidth="1" outlineLevel="1"/>
    <col min="3" max="3" width="9" customWidth="1" collapsed="1"/>
    <col min="4" max="4" width="9.81640625" customWidth="1"/>
    <col min="5" max="5" width="9.1796875" customWidth="1"/>
  </cols>
  <sheetData>
    <row r="1" spans="1:3" x14ac:dyDescent="0.35">
      <c r="A1" s="3" t="s">
        <v>20</v>
      </c>
      <c r="B1" s="3" t="s">
        <v>21</v>
      </c>
      <c r="C1" s="3" t="s">
        <v>22</v>
      </c>
    </row>
    <row r="2" spans="1:3" outlineLevel="2" x14ac:dyDescent="0.35">
      <c r="A2" t="s">
        <v>19</v>
      </c>
      <c r="B2" t="s">
        <v>10</v>
      </c>
      <c r="C2" s="5">
        <v>3.76</v>
      </c>
    </row>
    <row r="3" spans="1:3" outlineLevel="1" x14ac:dyDescent="0.35">
      <c r="B3" s="6" t="s">
        <v>42</v>
      </c>
      <c r="C3" s="5">
        <f>SUBTOTAL(9,C2:C2)</f>
        <v>3.76</v>
      </c>
    </row>
    <row r="4" spans="1:3" outlineLevel="2" x14ac:dyDescent="0.35">
      <c r="A4" t="s">
        <v>19</v>
      </c>
      <c r="B4" t="s">
        <v>9</v>
      </c>
      <c r="C4" s="5">
        <v>5.34</v>
      </c>
    </row>
    <row r="5" spans="1:3" outlineLevel="1" x14ac:dyDescent="0.35">
      <c r="B5" s="6" t="s">
        <v>43</v>
      </c>
      <c r="C5" s="5">
        <f>SUBTOTAL(9,C4:C4)</f>
        <v>5.34</v>
      </c>
    </row>
    <row r="6" spans="1:3" outlineLevel="2" x14ac:dyDescent="0.35">
      <c r="A6" t="s">
        <v>18</v>
      </c>
      <c r="B6" t="s">
        <v>17</v>
      </c>
      <c r="C6" s="5">
        <v>12.54</v>
      </c>
    </row>
    <row r="7" spans="1:3" outlineLevel="1" x14ac:dyDescent="0.35">
      <c r="B7" s="6" t="s">
        <v>44</v>
      </c>
      <c r="C7" s="5">
        <f>SUBTOTAL(9,C6:C6)</f>
        <v>12.54</v>
      </c>
    </row>
    <row r="8" spans="1:3" outlineLevel="2" x14ac:dyDescent="0.35">
      <c r="A8" t="s">
        <v>18</v>
      </c>
      <c r="B8" t="s">
        <v>7</v>
      </c>
      <c r="C8" s="5">
        <v>15.87</v>
      </c>
    </row>
    <row r="9" spans="1:3" outlineLevel="2" x14ac:dyDescent="0.35">
      <c r="A9" t="s">
        <v>18</v>
      </c>
      <c r="B9" t="s">
        <v>7</v>
      </c>
      <c r="C9" s="5">
        <v>18.53</v>
      </c>
    </row>
    <row r="10" spans="1:3" outlineLevel="1" x14ac:dyDescent="0.35">
      <c r="B10" s="6" t="s">
        <v>45</v>
      </c>
      <c r="C10" s="5">
        <f>SUBTOTAL(9,C8:C9)</f>
        <v>34.4</v>
      </c>
    </row>
    <row r="11" spans="1:3" x14ac:dyDescent="0.35">
      <c r="B11" s="6" t="s">
        <v>41</v>
      </c>
      <c r="C11" s="5">
        <f>SUBTOTAL(9,C2:C9)</f>
        <v>56.04</v>
      </c>
    </row>
    <row r="12" spans="1:3" x14ac:dyDescent="0.35">
      <c r="A12" s="6"/>
      <c r="C12" s="5"/>
    </row>
    <row r="13" spans="1:3" x14ac:dyDescent="0.35">
      <c r="A13" s="6"/>
      <c r="C13" s="5"/>
    </row>
    <row r="14" spans="1:3" outlineLevel="1" x14ac:dyDescent="0.35">
      <c r="A14" s="6"/>
      <c r="C14" s="5"/>
    </row>
  </sheetData>
  <pageMargins left="0.7" right="0.7" top="0.75" bottom="0.75" header="0.3" footer="0.3"/>
  <pageSetup paperSize="9" orientation="portrait" r:id="rId1"/>
  <rowBreaks count="5" manualBreakCount="5">
    <brk id="3" max="16383" man="1"/>
    <brk id="5" max="16383" man="1"/>
    <brk id="7" max="16383" man="1"/>
    <brk id="8" max="16383" man="1"/>
    <brk id="11"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8A48-FD78-4FB9-9256-035C2B209673}">
  <dimension ref="A1:C12"/>
  <sheetViews>
    <sheetView workbookViewId="0">
      <selection activeCell="F14" sqref="F14"/>
    </sheetView>
  </sheetViews>
  <sheetFormatPr defaultRowHeight="14.5" outlineLevelRow="2" outlineLevelCol="1" x14ac:dyDescent="0.35"/>
  <cols>
    <col min="1" max="1" width="8.54296875" customWidth="1" outlineLevel="1"/>
    <col min="2" max="2" width="7.1796875" customWidth="1"/>
    <col min="3" max="3" width="9" customWidth="1"/>
    <col min="4" max="4" width="9.81640625" customWidth="1"/>
    <col min="5" max="5" width="9.1796875" customWidth="1"/>
  </cols>
  <sheetData>
    <row r="1" spans="1:3" x14ac:dyDescent="0.35">
      <c r="A1" s="3" t="s">
        <v>20</v>
      </c>
      <c r="B1" s="3" t="s">
        <v>21</v>
      </c>
      <c r="C1" s="3" t="s">
        <v>22</v>
      </c>
    </row>
    <row r="2" spans="1:3" outlineLevel="2" x14ac:dyDescent="0.35">
      <c r="A2" t="s">
        <v>19</v>
      </c>
      <c r="B2" t="s">
        <v>10</v>
      </c>
      <c r="C2" s="5">
        <v>3.76</v>
      </c>
    </row>
    <row r="3" spans="1:3" outlineLevel="2" x14ac:dyDescent="0.35">
      <c r="A3" t="s">
        <v>19</v>
      </c>
      <c r="B3" t="s">
        <v>9</v>
      </c>
      <c r="C3" s="5">
        <v>5.34</v>
      </c>
    </row>
    <row r="4" spans="1:3" outlineLevel="1" x14ac:dyDescent="0.35">
      <c r="A4" s="6" t="s">
        <v>26</v>
      </c>
      <c r="C4" s="5">
        <f>SUBTOTAL(9,C2:C3)</f>
        <v>9.1</v>
      </c>
    </row>
    <row r="5" spans="1:3" outlineLevel="2" x14ac:dyDescent="0.35">
      <c r="A5" t="s">
        <v>18</v>
      </c>
      <c r="B5" t="s">
        <v>17</v>
      </c>
      <c r="C5" s="5">
        <v>12.54</v>
      </c>
    </row>
    <row r="6" spans="1:3" outlineLevel="2" x14ac:dyDescent="0.35">
      <c r="A6" t="s">
        <v>18</v>
      </c>
      <c r="B6" t="s">
        <v>7</v>
      </c>
      <c r="C6" s="5">
        <v>15.87</v>
      </c>
    </row>
    <row r="7" spans="1:3" outlineLevel="2" x14ac:dyDescent="0.35">
      <c r="A7" t="s">
        <v>18</v>
      </c>
      <c r="B7" t="s">
        <v>7</v>
      </c>
      <c r="C7" s="5">
        <v>18.53</v>
      </c>
    </row>
    <row r="8" spans="1:3" outlineLevel="1" x14ac:dyDescent="0.35">
      <c r="A8" s="6" t="s">
        <v>25</v>
      </c>
      <c r="C8" s="5">
        <f>SUBTOTAL(9,C5:C7)</f>
        <v>46.94</v>
      </c>
    </row>
    <row r="9" spans="1:3" x14ac:dyDescent="0.35">
      <c r="A9" s="6" t="s">
        <v>41</v>
      </c>
      <c r="C9" s="5">
        <f>SUBTOTAL(9,C2:C7)</f>
        <v>56.04</v>
      </c>
    </row>
    <row r="10" spans="1:3" x14ac:dyDescent="0.35">
      <c r="A10" s="6"/>
      <c r="C10" s="5"/>
    </row>
    <row r="11" spans="1:3" x14ac:dyDescent="0.35">
      <c r="A11" s="6"/>
      <c r="C11" s="5"/>
    </row>
    <row r="12" spans="1:3" x14ac:dyDescent="0.35">
      <c r="A12" s="6"/>
      <c r="C12" s="5"/>
    </row>
  </sheetData>
  <pageMargins left="0.7" right="0.7" top="0.75" bottom="0.75" header="0.3" footer="0.3"/>
  <pageSetup paperSize="9" orientation="portrait" r:id="rId1"/>
  <rowBreaks count="5" manualBreakCount="5">
    <brk id="2" max="16383" man="1"/>
    <brk id="4" max="16383" man="1"/>
    <brk id="5" max="16383" man="1"/>
    <brk id="6" max="16383" man="1"/>
    <brk id="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44EA5-A755-4B91-9F47-66277EDA2BA4}">
  <dimension ref="A1:C7"/>
  <sheetViews>
    <sheetView workbookViewId="0">
      <selection activeCell="Q4" sqref="Q4"/>
    </sheetView>
  </sheetViews>
  <sheetFormatPr defaultRowHeight="14.5" x14ac:dyDescent="0.35"/>
  <cols>
    <col min="1" max="1" width="10.26953125" customWidth="1"/>
    <col min="2" max="2" width="9.36328125" customWidth="1"/>
    <col min="3" max="3" width="9.6328125" bestFit="1" customWidth="1"/>
  </cols>
  <sheetData>
    <row r="1" spans="1:3" x14ac:dyDescent="0.35">
      <c r="A1" s="18" t="s">
        <v>20</v>
      </c>
      <c r="B1" s="18" t="s">
        <v>21</v>
      </c>
      <c r="C1" s="18" t="s">
        <v>22</v>
      </c>
    </row>
    <row r="2" spans="1:3" x14ac:dyDescent="0.35">
      <c r="A2" s="13" t="s">
        <v>18</v>
      </c>
      <c r="B2" s="13" t="s">
        <v>17</v>
      </c>
      <c r="C2" s="19">
        <v>12.54</v>
      </c>
    </row>
    <row r="3" spans="1:3" x14ac:dyDescent="0.35">
      <c r="A3" s="15" t="s">
        <v>18</v>
      </c>
      <c r="B3" s="15" t="s">
        <v>7</v>
      </c>
      <c r="C3" s="20">
        <v>15.87</v>
      </c>
    </row>
    <row r="4" spans="1:3" x14ac:dyDescent="0.35">
      <c r="A4" s="13" t="s">
        <v>18</v>
      </c>
      <c r="B4" s="13" t="s">
        <v>7</v>
      </c>
      <c r="C4" s="19">
        <v>18.53</v>
      </c>
    </row>
    <row r="5" spans="1:3" x14ac:dyDescent="0.35">
      <c r="A5" s="15" t="s">
        <v>19</v>
      </c>
      <c r="B5" s="15" t="s">
        <v>10</v>
      </c>
      <c r="C5" s="20">
        <v>3.76</v>
      </c>
    </row>
    <row r="6" spans="1:3" ht="15" thickBot="1" x14ac:dyDescent="0.4">
      <c r="A6" s="13" t="s">
        <v>19</v>
      </c>
      <c r="B6" s="13" t="s">
        <v>9</v>
      </c>
      <c r="C6" s="19">
        <v>5.34</v>
      </c>
    </row>
    <row r="7" spans="1:3" ht="15" thickTop="1" x14ac:dyDescent="0.35">
      <c r="A7" s="22" t="s">
        <v>28</v>
      </c>
      <c r="B7" s="22"/>
      <c r="C7" s="23">
        <f>SUBTOTAL(109,Table!$C$2:$C$6)</f>
        <v>56.039999999999992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9625-DEAC-43DF-BF23-59C3C1E34315}">
  <dimension ref="A1:F17"/>
  <sheetViews>
    <sheetView workbookViewId="0">
      <selection activeCell="F23" sqref="F23"/>
    </sheetView>
  </sheetViews>
  <sheetFormatPr defaultRowHeight="14.5" x14ac:dyDescent="0.35"/>
  <cols>
    <col min="1" max="1" width="12.7265625" bestFit="1" customWidth="1"/>
    <col min="2" max="2" width="11.08984375" customWidth="1"/>
    <col min="3" max="4" width="11.36328125" customWidth="1"/>
    <col min="5" max="5" width="10.6328125" bestFit="1" customWidth="1"/>
    <col min="6" max="6" width="11.36328125" customWidth="1"/>
    <col min="7" max="7" width="11.7265625" customWidth="1"/>
  </cols>
  <sheetData>
    <row r="1" spans="1:6" x14ac:dyDescent="0.35">
      <c r="A1" s="3" t="s">
        <v>31</v>
      </c>
      <c r="B1" s="3" t="s">
        <v>29</v>
      </c>
      <c r="C1" s="3" t="s">
        <v>30</v>
      </c>
      <c r="D1" s="3" t="s">
        <v>37</v>
      </c>
    </row>
    <row r="2" spans="1:6" x14ac:dyDescent="0.35">
      <c r="A2" t="s">
        <v>32</v>
      </c>
      <c r="B2" s="5">
        <v>15487</v>
      </c>
      <c r="C2" s="5">
        <v>24587</v>
      </c>
      <c r="D2" s="5">
        <v>23415</v>
      </c>
    </row>
    <row r="3" spans="1:6" x14ac:dyDescent="0.35">
      <c r="A3" t="s">
        <v>33</v>
      </c>
      <c r="B3" s="5">
        <v>18236</v>
      </c>
      <c r="C3" s="5">
        <v>21459</v>
      </c>
      <c r="D3" s="5">
        <v>74125</v>
      </c>
    </row>
    <row r="4" spans="1:6" x14ac:dyDescent="0.35">
      <c r="A4" t="s">
        <v>34</v>
      </c>
      <c r="B4" s="5">
        <v>12684</v>
      </c>
      <c r="C4" s="5">
        <v>24387</v>
      </c>
      <c r="D4" s="5">
        <v>62458</v>
      </c>
    </row>
    <row r="5" spans="1:6" x14ac:dyDescent="0.35">
      <c r="A5" t="s">
        <v>35</v>
      </c>
      <c r="B5" s="5">
        <v>17954</v>
      </c>
      <c r="C5" s="5">
        <v>34158</v>
      </c>
      <c r="D5" s="5">
        <v>41257</v>
      </c>
    </row>
    <row r="6" spans="1:6" x14ac:dyDescent="0.35">
      <c r="A6" t="s">
        <v>36</v>
      </c>
      <c r="B6" s="5">
        <v>32457</v>
      </c>
      <c r="C6" s="5">
        <v>52748</v>
      </c>
      <c r="D6" s="5">
        <v>85276</v>
      </c>
    </row>
    <row r="7" spans="1:6" x14ac:dyDescent="0.35">
      <c r="A7" t="s">
        <v>28</v>
      </c>
      <c r="B7" s="5">
        <f>SUBTOTAL(109,SalesTable[Jan])</f>
        <v>96818</v>
      </c>
      <c r="C7" s="5">
        <f>SUBTOTAL(109,SalesTable[Feb])</f>
        <v>157339</v>
      </c>
      <c r="D7" s="5">
        <f>SUBTOTAL(109,SalesTable[Mar])</f>
        <v>286531</v>
      </c>
    </row>
    <row r="10" spans="1:6" x14ac:dyDescent="0.35">
      <c r="B10" s="5">
        <f>SUM(SalesTable[Jan])</f>
        <v>96818</v>
      </c>
      <c r="C10" s="5">
        <f>SUM(SalesTable[Feb])</f>
        <v>157339</v>
      </c>
      <c r="D10" s="5">
        <f>SUM(SalesTable[Mar])</f>
        <v>286531</v>
      </c>
      <c r="F10">
        <f>ROWS(SalesTable[])</f>
        <v>5</v>
      </c>
    </row>
    <row r="11" spans="1:6" x14ac:dyDescent="0.35">
      <c r="B11" s="5">
        <f>SalesTable[[#Totals],[Jan]]</f>
        <v>96818</v>
      </c>
      <c r="C11" s="5">
        <f>SalesTable[[#Totals],[Feb]]</f>
        <v>157339</v>
      </c>
      <c r="D11" s="5">
        <f>SalesTable[[#Totals],[Mar]]</f>
        <v>286531</v>
      </c>
      <c r="F11">
        <f>ROWS(SalesTable[#Data])</f>
        <v>5</v>
      </c>
    </row>
    <row r="13" spans="1:6" x14ac:dyDescent="0.35">
      <c r="B13" s="5">
        <f>SUM(SalesTable[[Jan]:[Jan]])</f>
        <v>96818</v>
      </c>
      <c r="C13" s="5">
        <f>SUM(SalesTable[[Jan]:[Jan]])</f>
        <v>96818</v>
      </c>
      <c r="D13" s="5">
        <f>SUM(SalesTable[[Jan]:[Jan]])</f>
        <v>96818</v>
      </c>
    </row>
    <row r="14" spans="1:6" x14ac:dyDescent="0.35">
      <c r="B14" s="5" cm="1">
        <f t="array" ref="B14">SalesTable[[#Totals],[Jan]:[Jan]]</f>
        <v>96818</v>
      </c>
      <c r="C14" s="5" cm="1">
        <f t="array" ref="C14">SalesTable[[#Totals],[Jan]:[Jan]]</f>
        <v>96818</v>
      </c>
      <c r="D14" s="5" cm="1">
        <f t="array" ref="D14">SalesTable[[#Totals],[Jan]:[Jan]]</f>
        <v>96818</v>
      </c>
    </row>
    <row r="16" spans="1:6" x14ac:dyDescent="0.35">
      <c r="B16">
        <f>SUM(SalesTable[[Jan]:[Feb]])</f>
        <v>254157</v>
      </c>
      <c r="C16">
        <f>SUM(SalesTable[[Jan]:[Feb]])</f>
        <v>254157</v>
      </c>
    </row>
    <row r="17" spans="2:3" x14ac:dyDescent="0.35">
      <c r="B17" s="5">
        <f>SUM(SalesTable[Jan]:SalesTable[Feb])</f>
        <v>254157</v>
      </c>
      <c r="C17" s="5">
        <f>SUM(SalesTable[Feb]:SalesTable[Mar])</f>
        <v>443870</v>
      </c>
    </row>
  </sheetData>
  <pageMargins left="0.7" right="0.7" top="0.75" bottom="0.75" header="0.3" footer="0.3"/>
  <ignoredErrors>
    <ignoredError sqref="D2:D6" calculatedColumn="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B5DFE-B737-43A8-AF48-C3A22C4CF9A4}">
  <dimension ref="A1:K9"/>
  <sheetViews>
    <sheetView workbookViewId="0">
      <selection activeCell="F13" sqref="F13"/>
    </sheetView>
  </sheetViews>
  <sheetFormatPr defaultRowHeight="14.5" x14ac:dyDescent="0.35"/>
  <cols>
    <col min="1" max="1" width="12.81640625" customWidth="1"/>
    <col min="2" max="2" width="11.08984375" customWidth="1"/>
    <col min="3" max="4" width="11.36328125" customWidth="1"/>
    <col min="5" max="5" width="10.6328125" bestFit="1" customWidth="1"/>
    <col min="6" max="6" width="11.36328125" customWidth="1"/>
    <col min="7" max="7" width="12.81640625" customWidth="1"/>
    <col min="8" max="8" width="9.90625" bestFit="1" customWidth="1"/>
    <col min="9" max="10" width="10.90625" bestFit="1" customWidth="1"/>
    <col min="11" max="11" width="10.81640625" bestFit="1" customWidth="1"/>
  </cols>
  <sheetData>
    <row r="1" spans="1:11" x14ac:dyDescent="0.35">
      <c r="A1" s="11" t="s">
        <v>31</v>
      </c>
      <c r="B1" s="11" t="s">
        <v>29</v>
      </c>
      <c r="C1" s="11" t="s">
        <v>30</v>
      </c>
      <c r="D1" s="12" t="s">
        <v>37</v>
      </c>
      <c r="E1" s="18" t="s">
        <v>46</v>
      </c>
      <c r="G1" s="11" t="s">
        <v>31</v>
      </c>
      <c r="H1" s="11" t="s">
        <v>29</v>
      </c>
      <c r="I1" s="11" t="s">
        <v>30</v>
      </c>
      <c r="J1" s="11" t="s">
        <v>37</v>
      </c>
      <c r="K1" s="28" t="s">
        <v>46</v>
      </c>
    </row>
    <row r="2" spans="1:11" x14ac:dyDescent="0.35">
      <c r="A2" s="27" t="s">
        <v>32</v>
      </c>
      <c r="B2" s="24">
        <v>15487</v>
      </c>
      <c r="C2" s="24">
        <v>24587</v>
      </c>
      <c r="D2" s="25">
        <v>23415</v>
      </c>
      <c r="E2" s="5">
        <f>SUM(B2:D2)</f>
        <v>63489</v>
      </c>
      <c r="G2" s="37" t="s">
        <v>32</v>
      </c>
      <c r="H2" s="29">
        <v>15487</v>
      </c>
      <c r="I2" s="29">
        <v>24587</v>
      </c>
      <c r="J2" s="29">
        <v>23415</v>
      </c>
      <c r="K2" s="30">
        <f>SUM(H2:J2)</f>
        <v>63489</v>
      </c>
    </row>
    <row r="3" spans="1:11" x14ac:dyDescent="0.35">
      <c r="A3" s="15" t="s">
        <v>33</v>
      </c>
      <c r="B3" s="20">
        <v>18236</v>
      </c>
      <c r="C3" s="20">
        <v>21459</v>
      </c>
      <c r="D3" s="16">
        <v>74125</v>
      </c>
      <c r="E3" s="5">
        <f t="shared" ref="E3:E7" si="0">SUM(B3:D3)</f>
        <v>113820</v>
      </c>
      <c r="G3" s="38" t="s">
        <v>33</v>
      </c>
      <c r="H3" s="31">
        <v>18236</v>
      </c>
      <c r="I3" s="31">
        <v>21459</v>
      </c>
      <c r="J3" s="31">
        <v>74125</v>
      </c>
      <c r="K3" s="32">
        <f t="shared" ref="K3:K7" si="1">SUM(H3:J3)</f>
        <v>113820</v>
      </c>
    </row>
    <row r="4" spans="1:11" x14ac:dyDescent="0.35">
      <c r="A4" s="13" t="s">
        <v>34</v>
      </c>
      <c r="B4" s="19">
        <v>12684</v>
      </c>
      <c r="C4" s="19">
        <v>24387</v>
      </c>
      <c r="D4" s="14">
        <v>62458</v>
      </c>
      <c r="E4" s="5">
        <f t="shared" si="0"/>
        <v>99529</v>
      </c>
      <c r="G4" s="39" t="s">
        <v>34</v>
      </c>
      <c r="H4" s="33">
        <v>12684</v>
      </c>
      <c r="I4" s="33">
        <v>24387</v>
      </c>
      <c r="J4" s="33">
        <v>62458</v>
      </c>
      <c r="K4" s="34">
        <f t="shared" si="1"/>
        <v>99529</v>
      </c>
    </row>
    <row r="5" spans="1:11" x14ac:dyDescent="0.35">
      <c r="A5" s="15" t="s">
        <v>35</v>
      </c>
      <c r="B5" s="20">
        <v>17954</v>
      </c>
      <c r="C5" s="20">
        <v>34158</v>
      </c>
      <c r="D5" s="16">
        <v>41257</v>
      </c>
      <c r="E5" s="5">
        <f t="shared" si="0"/>
        <v>93369</v>
      </c>
      <c r="G5" s="38" t="s">
        <v>35</v>
      </c>
      <c r="H5" s="31">
        <v>17954</v>
      </c>
      <c r="I5" s="31">
        <v>34158</v>
      </c>
      <c r="J5" s="31">
        <v>41257</v>
      </c>
      <c r="K5" s="32">
        <f t="shared" si="1"/>
        <v>93369</v>
      </c>
    </row>
    <row r="6" spans="1:11" ht="15" thickBot="1" x14ac:dyDescent="0.4">
      <c r="A6" s="13" t="s">
        <v>36</v>
      </c>
      <c r="B6" s="19">
        <v>32457</v>
      </c>
      <c r="C6" s="19">
        <v>52748</v>
      </c>
      <c r="D6" s="14">
        <v>85276</v>
      </c>
      <c r="E6" s="5">
        <f t="shared" si="0"/>
        <v>170481</v>
      </c>
      <c r="G6" s="39" t="s">
        <v>36</v>
      </c>
      <c r="H6" s="33">
        <v>32457</v>
      </c>
      <c r="I6" s="33">
        <v>52748</v>
      </c>
      <c r="J6" s="33">
        <v>85276</v>
      </c>
      <c r="K6" s="34">
        <f t="shared" si="1"/>
        <v>170481</v>
      </c>
    </row>
    <row r="7" spans="1:11" ht="15" thickTop="1" x14ac:dyDescent="0.35">
      <c r="A7" s="10" t="s">
        <v>28</v>
      </c>
      <c r="B7" s="21">
        <f>SUBTOTAL(109,'Tables (2)'!$B$2:$B$6)</f>
        <v>96818</v>
      </c>
      <c r="C7" s="21">
        <f>SUBTOTAL(109,'Tables (2)'!$C$2:$C$6)</f>
        <v>157339</v>
      </c>
      <c r="D7" s="17">
        <f>SUBTOTAL(109,'Tables (2)'!$D$2:$D$6)</f>
        <v>286531</v>
      </c>
      <c r="E7" s="5">
        <f t="shared" si="0"/>
        <v>540688</v>
      </c>
      <c r="G7" s="40" t="s">
        <v>28</v>
      </c>
      <c r="H7" s="35">
        <f>SUBTOTAL(109,'Tables (2)'!$B$2:$B$6)</f>
        <v>96818</v>
      </c>
      <c r="I7" s="35">
        <f>SUBTOTAL(109,'Tables (2)'!$C$2:$C$6)</f>
        <v>157339</v>
      </c>
      <c r="J7" s="35">
        <f>SUBTOTAL(109,'Tables (2)'!$D$2:$D$6)</f>
        <v>286531</v>
      </c>
      <c r="K7" s="36">
        <f t="shared" si="1"/>
        <v>540688</v>
      </c>
    </row>
    <row r="9" spans="1:11" x14ac:dyDescent="0.35">
      <c r="E9" s="26"/>
    </row>
  </sheetData>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E52F-3C6F-466F-BEEE-3517D24B1F55}">
  <dimension ref="A1:E7"/>
  <sheetViews>
    <sheetView showGridLines="0" workbookViewId="0">
      <selection sqref="A1:D6"/>
    </sheetView>
  </sheetViews>
  <sheetFormatPr defaultRowHeight="14.5" x14ac:dyDescent="0.35"/>
  <cols>
    <col min="1" max="1" width="15.453125" customWidth="1"/>
    <col min="2" max="5" width="17.1796875" customWidth="1"/>
  </cols>
  <sheetData>
    <row r="1" spans="1:5" x14ac:dyDescent="0.35">
      <c r="A1" s="11" t="s">
        <v>47</v>
      </c>
      <c r="B1" s="11" t="s">
        <v>29</v>
      </c>
      <c r="C1" s="11" t="s">
        <v>30</v>
      </c>
      <c r="D1" s="11" t="s">
        <v>37</v>
      </c>
      <c r="E1" s="28" t="s">
        <v>46</v>
      </c>
    </row>
    <row r="2" spans="1:5" x14ac:dyDescent="0.35">
      <c r="A2" s="37" t="s">
        <v>32</v>
      </c>
      <c r="B2" s="29">
        <v>15487</v>
      </c>
      <c r="C2" s="29">
        <v>24587</v>
      </c>
      <c r="D2" s="29">
        <v>23415</v>
      </c>
      <c r="E2" s="30">
        <f>SUM(B2:D2)</f>
        <v>63489</v>
      </c>
    </row>
    <row r="3" spans="1:5" x14ac:dyDescent="0.35">
      <c r="A3" s="38" t="s">
        <v>33</v>
      </c>
      <c r="B3" s="31">
        <v>18236</v>
      </c>
      <c r="C3" s="31">
        <v>21459</v>
      </c>
      <c r="D3" s="31">
        <v>74125</v>
      </c>
      <c r="E3" s="32">
        <f t="shared" ref="E3:E7" si="0">SUM(B3:D3)</f>
        <v>113820</v>
      </c>
    </row>
    <row r="4" spans="1:5" x14ac:dyDescent="0.35">
      <c r="A4" s="39" t="s">
        <v>34</v>
      </c>
      <c r="B4" s="33">
        <v>12684</v>
      </c>
      <c r="C4" s="33">
        <v>24387</v>
      </c>
      <c r="D4" s="33">
        <v>62458</v>
      </c>
      <c r="E4" s="34">
        <f t="shared" si="0"/>
        <v>99529</v>
      </c>
    </row>
    <row r="5" spans="1:5" x14ac:dyDescent="0.35">
      <c r="A5" s="38" t="s">
        <v>35</v>
      </c>
      <c r="B5" s="31">
        <v>17954</v>
      </c>
      <c r="C5" s="31">
        <v>34158</v>
      </c>
      <c r="D5" s="31">
        <v>41257</v>
      </c>
      <c r="E5" s="32">
        <f t="shared" si="0"/>
        <v>93369</v>
      </c>
    </row>
    <row r="6" spans="1:5" ht="15" thickBot="1" x14ac:dyDescent="0.4">
      <c r="A6" s="39" t="s">
        <v>36</v>
      </c>
      <c r="B6" s="33">
        <v>32457</v>
      </c>
      <c r="C6" s="33">
        <v>52748</v>
      </c>
      <c r="D6" s="33">
        <v>85276</v>
      </c>
      <c r="E6" s="34">
        <f t="shared" si="0"/>
        <v>170481</v>
      </c>
    </row>
    <row r="7" spans="1:5" ht="15" thickTop="1" x14ac:dyDescent="0.35">
      <c r="A7" s="40" t="s">
        <v>28</v>
      </c>
      <c r="B7" s="35">
        <f>SUBTOTAL(109,'Tables (2)'!$B$2:$B$6)</f>
        <v>96818</v>
      </c>
      <c r="C7" s="35">
        <f>SUBTOTAL(109,'Tables (2)'!$C$2:$C$6)</f>
        <v>157339</v>
      </c>
      <c r="D7" s="35">
        <f>SUBTOTAL(109,'Tables (2)'!$D$2:$D$6)</f>
        <v>286531</v>
      </c>
      <c r="E7" s="36">
        <f t="shared" si="0"/>
        <v>540688</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37ED-834D-4971-8AF1-373D59C1EBAE}">
  <dimension ref="A1:M22"/>
  <sheetViews>
    <sheetView tabSelected="1" workbookViewId="0">
      <selection activeCell="E16" sqref="E16"/>
    </sheetView>
  </sheetViews>
  <sheetFormatPr defaultRowHeight="14.5" x14ac:dyDescent="0.35"/>
  <cols>
    <col min="1" max="1" width="12.90625" customWidth="1"/>
  </cols>
  <sheetData>
    <row r="1" spans="1:13" x14ac:dyDescent="0.35">
      <c r="A1" t="s">
        <v>47</v>
      </c>
      <c r="B1" t="s">
        <v>29</v>
      </c>
      <c r="C1" t="s">
        <v>30</v>
      </c>
      <c r="D1" t="s">
        <v>37</v>
      </c>
      <c r="E1" t="s">
        <v>48</v>
      </c>
      <c r="F1" t="s">
        <v>49</v>
      </c>
    </row>
    <row r="2" spans="1:13" x14ac:dyDescent="0.35">
      <c r="A2" t="s">
        <v>32</v>
      </c>
      <c r="B2">
        <v>15487</v>
      </c>
      <c r="C2">
        <v>24587</v>
      </c>
      <c r="D2">
        <v>23415</v>
      </c>
      <c r="E2">
        <f>SUM(VENDAS_EU[[#This Row],[Jan]:[Mar]])</f>
        <v>63489</v>
      </c>
      <c r="H2" t="str" cm="1">
        <f t="array" ref="H2:M7">VENDAS_EU[]</f>
        <v>AA</v>
      </c>
      <c r="I2">
        <v>15487</v>
      </c>
      <c r="J2">
        <v>24587</v>
      </c>
      <c r="K2">
        <v>23415</v>
      </c>
      <c r="L2">
        <v>63489</v>
      </c>
      <c r="M2">
        <v>0</v>
      </c>
    </row>
    <row r="3" spans="1:13" x14ac:dyDescent="0.35">
      <c r="A3" t="s">
        <v>33</v>
      </c>
      <c r="B3">
        <v>18236</v>
      </c>
      <c r="C3">
        <v>21459</v>
      </c>
      <c r="D3">
        <v>74125</v>
      </c>
      <c r="E3">
        <f>SUM(VENDAS_EU[[#This Row],[Jan]:[Mar]])</f>
        <v>113820</v>
      </c>
      <c r="H3" t="str">
        <v>DE</v>
      </c>
      <c r="I3">
        <v>18236</v>
      </c>
      <c r="J3">
        <v>21459</v>
      </c>
      <c r="K3">
        <v>74125</v>
      </c>
      <c r="L3">
        <v>113820</v>
      </c>
      <c r="M3">
        <v>0</v>
      </c>
    </row>
    <row r="4" spans="1:13" x14ac:dyDescent="0.35">
      <c r="A4" t="s">
        <v>34</v>
      </c>
      <c r="B4">
        <v>12684</v>
      </c>
      <c r="C4">
        <v>24387</v>
      </c>
      <c r="D4">
        <v>62458</v>
      </c>
      <c r="E4">
        <f>SUM(VENDAS_EU[[#This Row],[Jan]:[Mar]])</f>
        <v>99529</v>
      </c>
      <c r="H4" t="str">
        <v>AC</v>
      </c>
      <c r="I4">
        <v>12684</v>
      </c>
      <c r="J4">
        <v>24387</v>
      </c>
      <c r="K4">
        <v>62458</v>
      </c>
      <c r="L4">
        <v>99529</v>
      </c>
      <c r="M4">
        <v>0</v>
      </c>
    </row>
    <row r="5" spans="1:13" x14ac:dyDescent="0.35">
      <c r="A5" t="s">
        <v>35</v>
      </c>
      <c r="B5">
        <v>17954</v>
      </c>
      <c r="C5">
        <v>34158</v>
      </c>
      <c r="D5">
        <v>41257</v>
      </c>
      <c r="E5">
        <f>SUM(VENDAS_EU[[#This Row],[Jan]:[Mar]])</f>
        <v>93369</v>
      </c>
      <c r="H5" t="str">
        <v>YR</v>
      </c>
      <c r="I5">
        <v>17954</v>
      </c>
      <c r="J5">
        <v>34158</v>
      </c>
      <c r="K5">
        <v>41257</v>
      </c>
      <c r="L5">
        <v>93369</v>
      </c>
      <c r="M5">
        <v>0</v>
      </c>
    </row>
    <row r="6" spans="1:13" x14ac:dyDescent="0.35">
      <c r="A6" t="s">
        <v>36</v>
      </c>
      <c r="B6">
        <v>32457</v>
      </c>
      <c r="C6">
        <v>52748</v>
      </c>
      <c r="D6">
        <v>85276</v>
      </c>
      <c r="E6">
        <f>SUM(VENDAS_EU[[#This Row],[Jan]:[Mar]])</f>
        <v>170481</v>
      </c>
      <c r="H6" t="str">
        <v>EF</v>
      </c>
      <c r="I6">
        <v>32457</v>
      </c>
      <c r="J6">
        <v>52748</v>
      </c>
      <c r="K6">
        <v>85276</v>
      </c>
      <c r="L6">
        <v>170481</v>
      </c>
      <c r="M6">
        <v>0</v>
      </c>
    </row>
    <row r="7" spans="1:13" x14ac:dyDescent="0.35">
      <c r="A7" t="s">
        <v>28</v>
      </c>
      <c r="B7">
        <f>SUM(B2:B6)</f>
        <v>96818</v>
      </c>
      <c r="C7">
        <f t="shared" ref="C7:D7" si="0">SUM(C2:C6)</f>
        <v>157339</v>
      </c>
      <c r="D7">
        <f t="shared" si="0"/>
        <v>286531</v>
      </c>
      <c r="E7" s="41">
        <f>SUM(VENDAS_EU[[#This Row],[Jan]:[Mar]])</f>
        <v>540688</v>
      </c>
      <c r="H7" t="str">
        <v>Total</v>
      </c>
      <c r="I7">
        <v>96818</v>
      </c>
      <c r="J7">
        <v>157339</v>
      </c>
      <c r="K7">
        <v>286531</v>
      </c>
      <c r="L7">
        <v>540688</v>
      </c>
      <c r="M7">
        <v>0</v>
      </c>
    </row>
    <row r="10" spans="1:13" x14ac:dyDescent="0.35">
      <c r="H10" t="str" cm="1">
        <f t="array" ref="H10:M15">VENDAS_EU[#Data]</f>
        <v>AA</v>
      </c>
      <c r="I10">
        <v>15487</v>
      </c>
      <c r="J10">
        <v>24587</v>
      </c>
      <c r="K10">
        <v>23415</v>
      </c>
      <c r="L10">
        <v>63489</v>
      </c>
      <c r="M10">
        <v>0</v>
      </c>
    </row>
    <row r="11" spans="1:13" x14ac:dyDescent="0.35">
      <c r="H11" t="str">
        <v>DE</v>
      </c>
      <c r="I11">
        <v>18236</v>
      </c>
      <c r="J11">
        <v>21459</v>
      </c>
      <c r="K11">
        <v>74125</v>
      </c>
      <c r="L11">
        <v>113820</v>
      </c>
      <c r="M11">
        <v>0</v>
      </c>
    </row>
    <row r="12" spans="1:13" x14ac:dyDescent="0.35">
      <c r="H12" t="str">
        <v>AC</v>
      </c>
      <c r="I12">
        <v>12684</v>
      </c>
      <c r="J12">
        <v>24387</v>
      </c>
      <c r="K12">
        <v>62458</v>
      </c>
      <c r="L12">
        <v>99529</v>
      </c>
      <c r="M12">
        <v>0</v>
      </c>
    </row>
    <row r="13" spans="1:13" x14ac:dyDescent="0.35">
      <c r="H13" t="str">
        <v>YR</v>
      </c>
      <c r="I13">
        <v>17954</v>
      </c>
      <c r="J13">
        <v>34158</v>
      </c>
      <c r="K13">
        <v>41257</v>
      </c>
      <c r="L13">
        <v>93369</v>
      </c>
      <c r="M13">
        <v>0</v>
      </c>
    </row>
    <row r="14" spans="1:13" x14ac:dyDescent="0.35">
      <c r="H14" t="str">
        <v>EF</v>
      </c>
      <c r="I14">
        <v>32457</v>
      </c>
      <c r="J14">
        <v>52748</v>
      </c>
      <c r="K14">
        <v>85276</v>
      </c>
      <c r="L14">
        <v>170481</v>
      </c>
      <c r="M14">
        <v>0</v>
      </c>
    </row>
    <row r="15" spans="1:13" x14ac:dyDescent="0.35">
      <c r="H15" t="str">
        <v>Total</v>
      </c>
      <c r="I15">
        <v>96818</v>
      </c>
      <c r="J15">
        <v>157339</v>
      </c>
      <c r="K15">
        <v>286531</v>
      </c>
      <c r="L15">
        <v>540688</v>
      </c>
      <c r="M15">
        <v>0</v>
      </c>
    </row>
    <row r="17" spans="8:8" x14ac:dyDescent="0.35">
      <c r="H17" t="str" cm="1">
        <f t="array" ref="H17:H22">VENDAS_EU[vendas_ano]</f>
        <v>AA</v>
      </c>
    </row>
    <row r="18" spans="8:8" x14ac:dyDescent="0.35">
      <c r="H18" t="str">
        <v>DE</v>
      </c>
    </row>
    <row r="19" spans="8:8" x14ac:dyDescent="0.35">
      <c r="H19" t="str">
        <v>AC</v>
      </c>
    </row>
    <row r="20" spans="8:8" x14ac:dyDescent="0.35">
      <c r="H20" t="str">
        <v>YR</v>
      </c>
    </row>
    <row r="21" spans="8:8" x14ac:dyDescent="0.35">
      <c r="H21" t="str">
        <v>EF</v>
      </c>
    </row>
    <row r="22" spans="8:8" x14ac:dyDescent="0.35">
      <c r="H22" t="str">
        <v>Total</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25</vt:i4>
      </vt:variant>
      <vt:variant>
        <vt:lpstr>Intervalos Nomeados</vt:lpstr>
      </vt:variant>
      <vt:variant>
        <vt:i4>35</vt:i4>
      </vt:variant>
    </vt:vector>
  </HeadingPairs>
  <TitlesOfParts>
    <vt:vector size="60" baseType="lpstr">
      <vt:lpstr>References</vt:lpstr>
      <vt:lpstr>References Mixed</vt:lpstr>
      <vt:lpstr>Conditional Formatting</vt:lpstr>
      <vt:lpstr>Conditional Formatting 2</vt:lpstr>
      <vt:lpstr>R1C1</vt:lpstr>
      <vt:lpstr>R1C1 Blank</vt:lpstr>
      <vt:lpstr>Workbook References</vt:lpstr>
      <vt:lpstr>3-D References</vt:lpstr>
      <vt:lpstr>HR</vt:lpstr>
      <vt:lpstr>Marketing</vt:lpstr>
      <vt:lpstr>Sales</vt:lpstr>
      <vt:lpstr>Names</vt:lpstr>
      <vt:lpstr>Dynamic Names</vt:lpstr>
      <vt:lpstr>Data Validation</vt:lpstr>
      <vt:lpstr>Dependent Dropdown Lists</vt:lpstr>
      <vt:lpstr>Data-Entry Form</vt:lpstr>
      <vt:lpstr>Advanced Filter</vt:lpstr>
      <vt:lpstr>Outlines</vt:lpstr>
      <vt:lpstr>Outlines (3)</vt:lpstr>
      <vt:lpstr>Outlines (2)</vt:lpstr>
      <vt:lpstr>Table</vt:lpstr>
      <vt:lpstr>Tables</vt:lpstr>
      <vt:lpstr>Tables (2)</vt:lpstr>
      <vt:lpstr>Sheet4</vt:lpstr>
      <vt:lpstr>Planilha4</vt:lpstr>
      <vt:lpstr>AA</vt:lpstr>
      <vt:lpstr>AC</vt:lpstr>
      <vt:lpstr>'Advanced Filter'!Area_de_extracao</vt:lpstr>
      <vt:lpstr>BEBIDA</vt:lpstr>
      <vt:lpstr>Coffee</vt:lpstr>
      <vt:lpstr>COMID</vt:lpstr>
      <vt:lpstr>comida</vt:lpstr>
      <vt:lpstr>'Advanced Filter'!Criterios</vt:lpstr>
      <vt:lpstr>DE</vt:lpstr>
      <vt:lpstr>Drink</vt:lpstr>
      <vt:lpstr>EF</vt:lpstr>
      <vt:lpstr>Feb</vt:lpstr>
      <vt:lpstr>Food</vt:lpstr>
      <vt:lpstr>'Advanced Filter'!Items</vt:lpstr>
      <vt:lpstr>Outlines!Items</vt:lpstr>
      <vt:lpstr>'Outlines (2)'!Items</vt:lpstr>
      <vt:lpstr>'Outlines (3)'!Items</vt:lpstr>
      <vt:lpstr>'References Mixed'!Items</vt:lpstr>
      <vt:lpstr>'Tables (2)'!Items</vt:lpstr>
      <vt:lpstr>Items</vt:lpstr>
      <vt:lpstr>ItemsCells</vt:lpstr>
      <vt:lpstr>Jan</vt:lpstr>
      <vt:lpstr>Mar</vt:lpstr>
      <vt:lpstr>Pizza</vt:lpstr>
      <vt:lpstr>Sales</vt:lpstr>
      <vt:lpstr>Salesperson</vt:lpstr>
      <vt:lpstr>Tables!tabela_vendedor</vt:lpstr>
      <vt:lpstr>Tea</vt:lpstr>
      <vt:lpstr>Totals</vt:lpstr>
      <vt:lpstr>vendads_vendedor</vt:lpstr>
      <vt:lpstr>VENDAS_2026</vt:lpstr>
      <vt:lpstr>vendas_ano</vt:lpstr>
      <vt:lpstr>vendas_total_ano</vt:lpstr>
      <vt:lpstr>vendedor</vt:lpstr>
      <vt:lpstr>YR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dawng</dc:creator>
  <cp:lastModifiedBy>Antonio Jose Honorio Pereira</cp:lastModifiedBy>
  <dcterms:created xsi:type="dcterms:W3CDTF">2023-05-23T09:52:48Z</dcterms:created>
  <dcterms:modified xsi:type="dcterms:W3CDTF">2026-08-26T22:42:48Z</dcterms:modified>
</cp:coreProperties>
</file>