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103067\Documents\CURSO_EXCEL_KNORR\AULA_3_EXCEL\"/>
    </mc:Choice>
  </mc:AlternateContent>
  <xr:revisionPtr revIDLastSave="0" documentId="8_{052C9802-BA18-47EC-A2E8-60141E072DA7}" xr6:coauthVersionLast="47" xr6:coauthVersionMax="47" xr10:uidLastSave="{00000000-0000-0000-0000-000000000000}"/>
  <bookViews>
    <workbookView xWindow="-110" yWindow="-110" windowWidth="19420" windowHeight="10300" xr2:uid="{F3379EE6-CD89-4450-8E78-FC7F4A792D01}"/>
  </bookViews>
  <sheets>
    <sheet name="exercicio_demonstração_aula3" sheetId="2" r:id="rId1"/>
    <sheet name="Planilha1" sheetId="1" r:id="rId2"/>
  </sheets>
  <definedNames>
    <definedName name="DadosExternos_1" localSheetId="0" hidden="1">exercicio_demonstração_aula3!$A$1:$G$101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2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I2" i="2" a="1"/>
  <c r="I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 Jose Honorio Pereira</author>
  </authors>
  <commentList>
    <comment ref="I1" authorId="0" shapeId="0" xr:uid="{CC01A75D-581B-4921-906A-4E317A8EF227}">
      <text>
        <r>
          <rPr>
            <b/>
            <sz val="9"/>
            <color indexed="81"/>
            <rFont val="Segoe UI"/>
            <family val="2"/>
          </rPr>
          <t>Antonio Jose Honorio Pereira:</t>
        </r>
        <r>
          <rPr>
            <sz val="9"/>
            <color indexed="81"/>
            <rFont val="Segoe UI"/>
            <family val="2"/>
          </rPr>
          <t xml:space="preserve">
não trabalhamos de sábado e domingo devido a custos de hora extra ,portanto descobrir se as datas de produção e entrega sejam em dias de semana 
</t>
        </r>
      </text>
    </comment>
    <comment ref="J1" authorId="0" shapeId="0" xr:uid="{5CCAE1AE-7044-45FA-A898-53EDD33D9769}">
      <text>
        <r>
          <rPr>
            <b/>
            <sz val="9"/>
            <color indexed="81"/>
            <rFont val="Segoe UI"/>
            <family val="2"/>
          </rPr>
          <t>Antonio Jose Honorio Pereira:</t>
        </r>
        <r>
          <rPr>
            <sz val="9"/>
            <color indexed="81"/>
            <rFont val="Segoe UI"/>
            <family val="2"/>
          </rPr>
          <t xml:space="preserve">
garanti que todos os dias seja de semana 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3D55B6-CBC0-4F85-803D-D134A932DA00}" keepAlive="1" name="Consulta - exercicio_demonstração_aula3" description="Conexão com a consulta 'exercicio_demonstração_aula3' na pasta de trabalho." type="5" refreshedVersion="8" background="1" saveData="1">
    <dbPr connection="Provider=Microsoft.Mashup.OleDb.1;Data Source=$Workbook$;Location=exercicio_demonstração_aula3;Extended Properties=&quot;&quot;" command="SELECT * FROM [exercicio_demonstração_aula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<sst xmlns="http://schemas.openxmlformats.org/spreadsheetml/2006/main" count="310" uniqueCount="118">
  <si>
    <t>Lote</t>
  </si>
  <si>
    <t>Data_Producao</t>
  </si>
  <si>
    <t>Data_Prevista_Entrega</t>
  </si>
  <si>
    <t>Turno</t>
  </si>
  <si>
    <t>Peca</t>
  </si>
  <si>
    <t>Qtd_Produzida</t>
  </si>
  <si>
    <t>Qtd_Refugo</t>
  </si>
  <si>
    <t>L001</t>
  </si>
  <si>
    <t>Manhã</t>
  </si>
  <si>
    <t>Carcaça da Bomba</t>
  </si>
  <si>
    <t>L002</t>
  </si>
  <si>
    <t>Corpo da Borboleta</t>
  </si>
  <si>
    <t>L003</t>
  </si>
  <si>
    <t>Tarde</t>
  </si>
  <si>
    <t>Suporte do Motor</t>
  </si>
  <si>
    <t>L004</t>
  </si>
  <si>
    <t>Bloco do Motor</t>
  </si>
  <si>
    <t>L005</t>
  </si>
  <si>
    <t>Noturno</t>
  </si>
  <si>
    <t>L006</t>
  </si>
  <si>
    <t>Cárter de Alumínio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</si>
  <si>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</si>
  <si>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</si>
  <si>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</si>
  <si>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</si>
  <si>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</si>
  <si>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</si>
  <si>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</si>
  <si>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</si>
  <si>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</si>
  <si>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</si>
  <si>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</si>
  <si>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</si>
  <si>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</si>
  <si>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</si>
  <si>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</si>
  <si>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</si>
  <si>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</si>
  <si>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</si>
  <si>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</si>
  <si>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</si>
  <si>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</si>
  <si>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</si>
  <si>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</si>
  <si>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</si>
  <si>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</si>
  <si>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</si>
  <si>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</si>
  <si>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</si>
  <si>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</si>
  <si>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</si>
  <si>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</si>
  <si>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</si>
  <si>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</si>
  <si>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</si>
  <si>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</si>
  <si>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</si>
  <si>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</si>
  <si>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</si>
  <si>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</si>
  <si>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</si>
  <si>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</si>
  <si>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</si>
  <si>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</si>
  <si>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</si>
  <si>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</si>
  <si>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</si>
  <si>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</si>
  <si>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</si>
  <si>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</si>
  <si>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</si>
  <si>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</si>
  <si>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</si>
  <si>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</si>
  <si>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</si>
  <si>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</si>
  <si>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</si>
  <si>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</si>
  <si>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</si>
  <si>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</si>
  <si>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</si>
  <si>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</si>
  <si>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</si>
  <si>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</si>
  <si>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</si>
  <si>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</si>
  <si>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</si>
  <si>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</si>
  <si>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</si>
  <si>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</si>
  <si>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</si>
  <si>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</si>
  <si>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</si>
  <si>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</si>
  <si>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</si>
  <si>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</si>
  <si>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</si>
  <si>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</si>
  <si>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</si>
  <si>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</si>
  <si>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</si>
  <si>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</si>
  <si>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</si>
  <si>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</si>
  <si>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</si>
  <si>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</si>
  <si>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</si>
  <si>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</si>
  <si>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</si>
  <si>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</si>
  <si>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</si>
  <si>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</si>
  <si>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</si>
  <si>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</si>
  <si>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</si>
  <si>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Coluna1</t>
  </si>
  <si>
    <t>data produção</t>
  </si>
  <si>
    <t xml:space="preserve">data prevista de entrega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</si>
</sst>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2AB9541-A64E-43B7-AB92-2D22698CA02F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Lote" tableColumnId="1"/>
      <queryTableField id="2" name="Data_Producao" tableColumnId="2"/>
      <queryTableField id="3" name="Data_Prevista_Entrega" tableColumnId="3"/>
      <queryTableField id="4" name="Turno" tableColumnId="4"/>
      <queryTableField id="5" name="Peca" tableColumnId="5"/>
      <queryTableField id="6" name="Qtd_Produzida" tableColumnId="6"/>
      <queryTableField id="7" name="Qtd_Refugo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E45C0-39BF-4077-9A4F-B5B91352EF62}" name="exercicio_demonstração_aula3" displayName="exercicio_demonstração_aula3" ref="A1:H101" tableType="queryTable" totalsRowShown="0">
  <autoFilter ref="A1:H101" xr:uid="{4E5E45C0-39BF-4077-9A4F-B5B91352EF62}"/>
  <tableColumns count="8">
    <tableColumn id="1" xr3:uid="{4210669A-68A4-42D0-A2FF-73AF7BF99169}" uniqueName="1" name="Lote" queryTableFieldId="1" dataDxfId="5"/>
    <tableColumn id="2" xr3:uid="{238DD4B3-2E05-4312-800A-E953E30056F4}" uniqueName="2" name="Data_Producao" queryTableFieldId="2" dataDxfId="4"/>
    <tableColumn id="3" xr3:uid="{F4403549-587F-4A17-B6BC-0E030DA2257D}" uniqueName="3" name="Data_Prevista_Entrega" queryTableFieldId="3" dataDxfId="3"/>
    <tableColumn id="4" xr3:uid="{DEAA6648-D7C4-4166-B4A6-5D4C91A9797E}" uniqueName="4" name="Turno" queryTableFieldId="4" dataDxfId="2"/>
    <tableColumn id="5" xr3:uid="{080EC7FE-727D-4FEB-8D68-6037F43B4085}" uniqueName="5" name="Peca" queryTableFieldId="5" dataDxfId="1"/>
    <tableColumn id="6" xr3:uid="{7055EACD-61F8-4672-9013-0C8FD0617A5F}" uniqueName="6" name="Qtd_Produzida" queryTableFieldId="6"/>
    <tableColumn id="7" xr3:uid="{D1377BAD-4B1D-488E-9832-A9BA3DE01940}" uniqueName="7" name="Qtd_Refugo" queryTableFieldId="7"/>
    <tableColumn id="8" xr3:uid="{FF8F6CC5-7AED-43A8-8947-21B90B212604}" uniqueName="8" name="Coluna1" queryTableFieldId="8" dataDxfId="0">
      <calculatedColumnFormula>WEEKDAY(exercicio_demonstração_aula3[[#This Row],[Data_Producao]])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51EF-F181-421E-A08A-E2357AD9C73A}">
  <dimension ref="A1:Q101"/>
  <sheetViews>
    <sheetView tabSelected="1" topLeftCell="D1" workbookViewId="0">
      <selection activeCell="O4" sqref="O4"/>
    </sheetView>
  </sheetViews>
  <sheetFormatPr defaultRowHeight="15" x14ac:dyDescent="0.25"/>
  <cols>
    <col min="1" max="1" width="7.28515625" bestFit="1" customWidth="1"/>
    <col min="2" max="2" width="16.85546875" bestFit="1" customWidth="1"/>
    <col min="3" max="3" width="23.7109375" bestFit="1" customWidth="1"/>
    <col min="4" max="4" width="14.5703125" customWidth="1"/>
    <col min="5" max="5" width="18.28515625" bestFit="1" customWidth="1"/>
    <col min="6" max="6" width="16.42578125" bestFit="1" customWidth="1"/>
    <col min="7" max="7" width="13.85546875" bestFit="1" customWidth="1"/>
    <col min="9" max="9" width="14.5703125" customWidth="1"/>
    <col min="10" max="10" width="13.5703125" customWidth="1"/>
    <col min="13" max="14" width="13.42578125" bestFit="1" customWidth="1"/>
    <col min="16" max="17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115</v>
      </c>
      <c r="I1" t="s">
        <v>116</v>
      </c>
      <c r="L1" t="s">
        <v>117</v>
      </c>
    </row>
    <row r="2" spans="1:17" x14ac:dyDescent="0.25">
      <c r="A2" s="1" t="s">
        <v>7</v>
      </c>
      <c r="B2" s="2">
        <v>46235</v>
      </c>
      <c r="C2" s="2">
        <v>46239</v>
      </c>
      <c r="D2" s="1" t="s">
        <v>8</v>
      </c>
      <c r="E2" s="1" t="s">
        <v>9</v>
      </c>
      <c r="F2">
        <v>450</v>
      </c>
      <c r="G2">
        <v>12</v>
      </c>
      <c r="H2">
        <f>WEEKDAY(exercicio_demonstração_aula3[[#This Row],[Data_Producao]])</f>
        <v>7</v>
      </c>
      <c r="I2" s="3" cm="1">
        <f t="array" ref="I2:I101">WEEKDAY(exercicio_demonstração_aula3[Data_Producao])</f>
        <v>7</v>
      </c>
      <c r="J2" s="3">
        <f>IF(I2=7,I2-1,IF(I2=1,I2+1,I2+0))</f>
        <v>6</v>
      </c>
      <c r="L2">
        <f>WEEKDAY(exercicio_demonstração_aula3[[#This Row],[Data_Prevista_Entrega]])</f>
        <v>4</v>
      </c>
      <c r="M2" s="3">
        <f>WEEKDAY(exercicio_demonstração_aula3[[#This Row],[Data_Prevista_Entrega]])</f>
        <v>4</v>
      </c>
      <c r="N2" s="3">
        <f>IF(M2=7,M2-1,IF(M2=1,M2+1,M2+0))</f>
        <v>4</v>
      </c>
      <c r="P2" s="2"/>
      <c r="Q2" s="2"/>
    </row>
    <row r="3" spans="1:17" x14ac:dyDescent="0.25">
      <c r="A3" s="1" t="s">
        <v>10</v>
      </c>
      <c r="B3" s="2">
        <v>46235</v>
      </c>
      <c r="C3" s="2">
        <v>46240</v>
      </c>
      <c r="D3" s="1" t="s">
        <v>8</v>
      </c>
      <c r="E3" s="1" t="s">
        <v>11</v>
      </c>
      <c r="F3">
        <v>320</v>
      </c>
      <c r="G3">
        <v>5</v>
      </c>
      <c r="H3">
        <f>WEEKDAY(exercicio_demonstração_aula3[[#This Row],[Data_Producao]])</f>
        <v>7</v>
      </c>
      <c r="I3" s="3">
        <v>7</v>
      </c>
      <c r="J3" s="3">
        <f t="shared" ref="J3:J66" si="0">IF(I3=7,I3-1,IF(I3=1,I3+1,I3+0))</f>
        <v>6</v>
      </c>
      <c r="L3">
        <f>WEEKDAY(exercicio_demonstração_aula3[[#This Row],[Data_Prevista_Entrega]])</f>
        <v>5</v>
      </c>
      <c r="M3" s="3">
        <f>WEEKDAY(exercicio_demonstração_aula3[[#This Row],[Data_Prevista_Entrega]])</f>
        <v>5</v>
      </c>
      <c r="N3" s="3">
        <f t="shared" ref="N3:N66" si="1">IF(M3=7,M3-1,IF(M3=1,M3+1,M3+0))</f>
        <v>5</v>
      </c>
    </row>
    <row r="4" spans="1:17" x14ac:dyDescent="0.25">
      <c r="A4" s="1" t="s">
        <v>12</v>
      </c>
      <c r="B4" s="2">
        <v>46235</v>
      </c>
      <c r="C4" s="2">
        <v>46238</v>
      </c>
      <c r="D4" s="1" t="s">
        <v>13</v>
      </c>
      <c r="E4" s="1" t="s">
        <v>14</v>
      </c>
      <c r="F4">
        <v>510</v>
      </c>
      <c r="G4">
        <v>8</v>
      </c>
      <c r="H4">
        <f>WEEKDAY(exercicio_demonstração_aula3[[#This Row],[Data_Producao]])</f>
        <v>7</v>
      </c>
      <c r="I4" s="3">
        <v>7</v>
      </c>
      <c r="J4" s="3">
        <f t="shared" si="0"/>
        <v>6</v>
      </c>
      <c r="L4">
        <f>WEEKDAY(exercicio_demonstração_aula3[[#This Row],[Data_Prevista_Entrega]])</f>
        <v>3</v>
      </c>
      <c r="M4" s="3">
        <f>WEEKDAY(exercicio_demonstração_aula3[[#This Row],[Data_Prevista_Entrega]])</f>
        <v>3</v>
      </c>
      <c r="N4" s="3">
        <f t="shared" si="1"/>
        <v>3</v>
      </c>
    </row>
    <row r="5" spans="1:17" x14ac:dyDescent="0.25">
      <c r="A5" s="1" t="s">
        <v>15</v>
      </c>
      <c r="B5" s="2">
        <v>46235</v>
      </c>
      <c r="C5" s="2">
        <v>46241</v>
      </c>
      <c r="D5" s="1" t="s">
        <v>13</v>
      </c>
      <c r="E5" s="1" t="s">
        <v>16</v>
      </c>
      <c r="F5">
        <v>150</v>
      </c>
      <c r="G5">
        <v>3</v>
      </c>
      <c r="H5">
        <f>WEEKDAY(exercicio_demonstração_aula3[[#This Row],[Data_Producao]])</f>
        <v>7</v>
      </c>
      <c r="I5" s="3">
        <v>7</v>
      </c>
      <c r="J5" s="3">
        <f t="shared" si="0"/>
        <v>6</v>
      </c>
      <c r="L5">
        <f>WEEKDAY(exercicio_demonstração_aula3[[#This Row],[Data_Prevista_Entrega]])</f>
        <v>6</v>
      </c>
      <c r="M5" s="3">
        <f>WEEKDAY(exercicio_demonstração_aula3[[#This Row],[Data_Prevista_Entrega]])</f>
        <v>6</v>
      </c>
      <c r="N5" s="3">
        <f t="shared" si="1"/>
        <v>6</v>
      </c>
    </row>
    <row r="6" spans="1:17" x14ac:dyDescent="0.25">
      <c r="A6" s="1" t="s">
        <v>17</v>
      </c>
      <c r="B6" s="2">
        <v>46235</v>
      </c>
      <c r="C6" s="2">
        <v>46239</v>
      </c>
      <c r="D6" s="1" t="s">
        <v>18</v>
      </c>
      <c r="E6" s="1" t="s">
        <v>9</v>
      </c>
      <c r="F6">
        <v>440</v>
      </c>
      <c r="G6">
        <v>15</v>
      </c>
      <c r="H6">
        <f>WEEKDAY(exercicio_demonstração_aula3[[#This Row],[Data_Producao]])</f>
        <v>7</v>
      </c>
      <c r="I6" s="3">
        <v>7</v>
      </c>
      <c r="J6" s="3">
        <f t="shared" si="0"/>
        <v>6</v>
      </c>
      <c r="L6">
        <f>WEEKDAY(exercicio_demonstração_aula3[[#This Row],[Data_Prevista_Entrega]])</f>
        <v>4</v>
      </c>
      <c r="M6" s="3">
        <f>WEEKDAY(exercicio_demonstração_aula3[[#This Row],[Data_Prevista_Entrega]])</f>
        <v>4</v>
      </c>
      <c r="N6" s="3">
        <f t="shared" si="1"/>
        <v>4</v>
      </c>
    </row>
    <row r="7" spans="1:17" x14ac:dyDescent="0.25">
      <c r="A7" s="1" t="s">
        <v>19</v>
      </c>
      <c r="B7" s="2">
        <v>46236</v>
      </c>
      <c r="C7" s="2">
        <v>46240</v>
      </c>
      <c r="D7" s="1" t="s">
        <v>8</v>
      </c>
      <c r="E7" s="1" t="s">
        <v>20</v>
      </c>
      <c r="F7">
        <v>290</v>
      </c>
      <c r="G7">
        <v>2</v>
      </c>
      <c r="H7">
        <f>WEEKDAY(exercicio_demonstração_aula3[[#This Row],[Data_Producao]])</f>
        <v>1</v>
      </c>
      <c r="I7" s="3">
        <v>1</v>
      </c>
      <c r="J7" s="3">
        <f t="shared" si="0"/>
        <v>2</v>
      </c>
      <c r="L7">
        <f>WEEKDAY(exercicio_demonstração_aula3[[#This Row],[Data_Prevista_Entrega]])</f>
        <v>5</v>
      </c>
      <c r="M7" s="3">
        <f>WEEKDAY(exercicio_demonstração_aula3[[#This Row],[Data_Prevista_Entrega]])</f>
        <v>5</v>
      </c>
      <c r="N7" s="3">
        <f t="shared" si="1"/>
        <v>5</v>
      </c>
    </row>
    <row r="8" spans="1:17" x14ac:dyDescent="0.25">
      <c r="A8" s="1" t="s">
        <v>21</v>
      </c>
      <c r="B8" s="2">
        <v>46236</v>
      </c>
      <c r="C8" s="2">
        <v>46242</v>
      </c>
      <c r="D8" s="1" t="s">
        <v>8</v>
      </c>
      <c r="E8" s="1" t="s">
        <v>11</v>
      </c>
      <c r="F8">
        <v>315</v>
      </c>
      <c r="G8">
        <v>7</v>
      </c>
      <c r="H8">
        <f>WEEKDAY(exercicio_demonstração_aula3[[#This Row],[Data_Producao]])</f>
        <v>1</v>
      </c>
      <c r="I8" s="3">
        <v>1</v>
      </c>
      <c r="J8" s="3">
        <f t="shared" si="0"/>
        <v>2</v>
      </c>
      <c r="L8">
        <f>WEEKDAY(exercicio_demonstração_aula3[[#This Row],[Data_Prevista_Entrega]])</f>
        <v>7</v>
      </c>
      <c r="M8" s="3">
        <f>WEEKDAY(exercicio_demonstração_aula3[[#This Row],[Data_Prevista_Entrega]])</f>
        <v>7</v>
      </c>
      <c r="N8" s="3">
        <f t="shared" si="1"/>
        <v>6</v>
      </c>
    </row>
    <row r="9" spans="1:17" x14ac:dyDescent="0.25">
      <c r="A9" s="1" t="s">
        <v>22</v>
      </c>
      <c r="B9" s="2">
        <v>46236</v>
      </c>
      <c r="C9" s="2">
        <v>46241</v>
      </c>
      <c r="D9" s="1" t="s">
        <v>13</v>
      </c>
      <c r="E9" s="1" t="s">
        <v>14</v>
      </c>
      <c r="F9">
        <v>500</v>
      </c>
      <c r="G9">
        <v>11</v>
      </c>
      <c r="H9">
        <f>WEEKDAY(exercicio_demonstração_aula3[[#This Row],[Data_Producao]])</f>
        <v>1</v>
      </c>
      <c r="I9" s="3">
        <v>1</v>
      </c>
      <c r="J9" s="3">
        <f t="shared" si="0"/>
        <v>2</v>
      </c>
      <c r="L9">
        <f>WEEKDAY(exercicio_demonstração_aula3[[#This Row],[Data_Prevista_Entrega]])</f>
        <v>6</v>
      </c>
      <c r="M9" s="3">
        <f>WEEKDAY(exercicio_demonstração_aula3[[#This Row],[Data_Prevista_Entrega]])</f>
        <v>6</v>
      </c>
      <c r="N9" s="3">
        <f t="shared" si="1"/>
        <v>6</v>
      </c>
    </row>
    <row r="10" spans="1:17" x14ac:dyDescent="0.25">
      <c r="A10" s="1" t="s">
        <v>23</v>
      </c>
      <c r="B10" s="2">
        <v>46236</v>
      </c>
      <c r="C10" s="2">
        <v>46244</v>
      </c>
      <c r="D10" s="1" t="s">
        <v>13</v>
      </c>
      <c r="E10" s="1" t="s">
        <v>16</v>
      </c>
      <c r="F10">
        <v>155</v>
      </c>
      <c r="G10">
        <v>4</v>
      </c>
      <c r="H10">
        <f>WEEKDAY(exercicio_demonstração_aula3[[#This Row],[Data_Producao]])</f>
        <v>1</v>
      </c>
      <c r="I10" s="3">
        <v>1</v>
      </c>
      <c r="J10" s="3">
        <f t="shared" si="0"/>
        <v>2</v>
      </c>
      <c r="L10">
        <f>WEEKDAY(exercicio_demonstração_aula3[[#This Row],[Data_Prevista_Entrega]])</f>
        <v>2</v>
      </c>
      <c r="M10" s="3">
        <f>WEEKDAY(exercicio_demonstração_aula3[[#This Row],[Data_Prevista_Entrega]])</f>
        <v>2</v>
      </c>
      <c r="N10" s="3">
        <f t="shared" si="1"/>
        <v>2</v>
      </c>
    </row>
    <row r="11" spans="1:17" x14ac:dyDescent="0.25">
      <c r="A11" s="1" t="s">
        <v>24</v>
      </c>
      <c r="B11" s="2">
        <v>46236</v>
      </c>
      <c r="C11" s="2">
        <v>46240</v>
      </c>
      <c r="D11" s="1" t="s">
        <v>18</v>
      </c>
      <c r="E11" s="1" t="s">
        <v>9</v>
      </c>
      <c r="F11">
        <v>460</v>
      </c>
      <c r="G11">
        <v>18</v>
      </c>
      <c r="H11">
        <f>WEEKDAY(exercicio_demonstração_aula3[[#This Row],[Data_Producao]])</f>
        <v>1</v>
      </c>
      <c r="I11" s="3">
        <v>1</v>
      </c>
      <c r="J11" s="3">
        <f t="shared" si="0"/>
        <v>2</v>
      </c>
      <c r="L11">
        <f>WEEKDAY(exercicio_demonstração_aula3[[#This Row],[Data_Prevista_Entrega]])</f>
        <v>5</v>
      </c>
      <c r="M11" s="3">
        <f>WEEKDAY(exercicio_demonstração_aula3[[#This Row],[Data_Prevista_Entrega]])</f>
        <v>5</v>
      </c>
      <c r="N11" s="3">
        <f t="shared" si="1"/>
        <v>5</v>
      </c>
    </row>
    <row r="12" spans="1:17" x14ac:dyDescent="0.25">
      <c r="A12" s="1" t="s">
        <v>25</v>
      </c>
      <c r="B12" s="2">
        <v>46237</v>
      </c>
      <c r="C12" s="2">
        <v>46242</v>
      </c>
      <c r="D12" s="1" t="s">
        <v>8</v>
      </c>
      <c r="E12" s="1" t="s">
        <v>20</v>
      </c>
      <c r="F12">
        <v>285</v>
      </c>
      <c r="G12">
        <v>1</v>
      </c>
      <c r="H12">
        <f>WEEKDAY(exercicio_demonstração_aula3[[#This Row],[Data_Producao]])</f>
        <v>2</v>
      </c>
      <c r="I12" s="3">
        <v>2</v>
      </c>
      <c r="J12" s="3">
        <f t="shared" si="0"/>
        <v>2</v>
      </c>
      <c r="L12">
        <f>WEEKDAY(exercicio_demonstração_aula3[[#This Row],[Data_Prevista_Entrega]])</f>
        <v>7</v>
      </c>
      <c r="M12" s="3">
        <f>WEEKDAY(exercicio_demonstração_aula3[[#This Row],[Data_Prevista_Entrega]])</f>
        <v>7</v>
      </c>
      <c r="N12" s="3">
        <f t="shared" si="1"/>
        <v>6</v>
      </c>
    </row>
    <row r="13" spans="1:17" x14ac:dyDescent="0.25">
      <c r="A13" s="1" t="s">
        <v>26</v>
      </c>
      <c r="B13" s="2">
        <v>46237</v>
      </c>
      <c r="C13" s="2">
        <v>46241</v>
      </c>
      <c r="D13" s="1" t="s">
        <v>8</v>
      </c>
      <c r="E13" s="1" t="s">
        <v>14</v>
      </c>
      <c r="F13">
        <v>520</v>
      </c>
      <c r="G13">
        <v>9</v>
      </c>
      <c r="H13">
        <f>WEEKDAY(exercicio_demonstração_aula3[[#This Row],[Data_Producao]])</f>
        <v>2</v>
      </c>
      <c r="I13" s="3">
        <v>2</v>
      </c>
      <c r="J13" s="3">
        <f t="shared" si="0"/>
        <v>2</v>
      </c>
      <c r="L13">
        <f>WEEKDAY(exercicio_demonstração_aula3[[#This Row],[Data_Prevista_Entrega]])</f>
        <v>6</v>
      </c>
      <c r="M13" s="3">
        <f>WEEKDAY(exercicio_demonstração_aula3[[#This Row],[Data_Prevista_Entrega]])</f>
        <v>6</v>
      </c>
      <c r="N13" s="3">
        <f t="shared" si="1"/>
        <v>6</v>
      </c>
    </row>
    <row r="14" spans="1:17" x14ac:dyDescent="0.25">
      <c r="A14" s="1" t="s">
        <v>27</v>
      </c>
      <c r="B14" s="2">
        <v>46237</v>
      </c>
      <c r="C14" s="2">
        <v>46241</v>
      </c>
      <c r="D14" s="1" t="s">
        <v>13</v>
      </c>
      <c r="E14" s="1" t="s">
        <v>11</v>
      </c>
      <c r="F14">
        <v>330</v>
      </c>
      <c r="G14">
        <v>6</v>
      </c>
      <c r="H14">
        <f>WEEKDAY(exercicio_demonstração_aula3[[#This Row],[Data_Producao]])</f>
        <v>2</v>
      </c>
      <c r="I14" s="3">
        <v>2</v>
      </c>
      <c r="J14" s="3">
        <f t="shared" si="0"/>
        <v>2</v>
      </c>
      <c r="L14">
        <f>WEEKDAY(exercicio_demonstração_aula3[[#This Row],[Data_Prevista_Entrega]])</f>
        <v>6</v>
      </c>
      <c r="M14" s="3">
        <f>WEEKDAY(exercicio_demonstração_aula3[[#This Row],[Data_Prevista_Entrega]])</f>
        <v>6</v>
      </c>
      <c r="N14" s="3">
        <f t="shared" si="1"/>
        <v>6</v>
      </c>
    </row>
    <row r="15" spans="1:17" x14ac:dyDescent="0.25">
      <c r="A15" s="1" t="s">
        <v>28</v>
      </c>
      <c r="B15" s="2">
        <v>46237</v>
      </c>
      <c r="C15" s="2">
        <v>46243</v>
      </c>
      <c r="D15" s="1" t="s">
        <v>13</v>
      </c>
      <c r="E15" s="1" t="s">
        <v>16</v>
      </c>
      <c r="F15">
        <v>145</v>
      </c>
      <c r="G15">
        <v>2</v>
      </c>
      <c r="H15">
        <f>WEEKDAY(exercicio_demonstração_aula3[[#This Row],[Data_Producao]])</f>
        <v>2</v>
      </c>
      <c r="I15" s="3">
        <v>2</v>
      </c>
      <c r="J15" s="3">
        <f t="shared" si="0"/>
        <v>2</v>
      </c>
      <c r="L15">
        <f>WEEKDAY(exercicio_demonstração_aula3[[#This Row],[Data_Prevista_Entrega]])</f>
        <v>1</v>
      </c>
      <c r="M15" s="3">
        <f>WEEKDAY(exercicio_demonstração_aula3[[#This Row],[Data_Prevista_Entrega]])</f>
        <v>1</v>
      </c>
      <c r="N15" s="3">
        <f t="shared" si="1"/>
        <v>2</v>
      </c>
    </row>
    <row r="16" spans="1:17" x14ac:dyDescent="0.25">
      <c r="A16" s="1" t="s">
        <v>29</v>
      </c>
      <c r="B16" s="2">
        <v>46237</v>
      </c>
      <c r="C16" s="2">
        <v>46241</v>
      </c>
      <c r="D16" s="1" t="s">
        <v>18</v>
      </c>
      <c r="E16" s="1" t="s">
        <v>9</v>
      </c>
      <c r="F16">
        <v>430</v>
      </c>
      <c r="G16">
        <v>14</v>
      </c>
      <c r="H16">
        <f>WEEKDAY(exercicio_demonstração_aula3[[#This Row],[Data_Producao]])</f>
        <v>2</v>
      </c>
      <c r="I16" s="3">
        <v>2</v>
      </c>
      <c r="J16" s="3">
        <f t="shared" si="0"/>
        <v>2</v>
      </c>
      <c r="L16">
        <f>WEEKDAY(exercicio_demonstração_aula3[[#This Row],[Data_Prevista_Entrega]])</f>
        <v>6</v>
      </c>
      <c r="M16" s="3">
        <f>WEEKDAY(exercicio_demonstração_aula3[[#This Row],[Data_Prevista_Entrega]])</f>
        <v>6</v>
      </c>
      <c r="N16" s="3">
        <f t="shared" si="1"/>
        <v>6</v>
      </c>
    </row>
    <row r="17" spans="1:14" x14ac:dyDescent="0.25">
      <c r="A17" s="1" t="s">
        <v>30</v>
      </c>
      <c r="B17" s="2">
        <v>46238</v>
      </c>
      <c r="C17" s="2">
        <v>46243</v>
      </c>
      <c r="D17" s="1" t="s">
        <v>8</v>
      </c>
      <c r="E17" s="1" t="s">
        <v>20</v>
      </c>
      <c r="F17">
        <v>300</v>
      </c>
      <c r="G17">
        <v>3</v>
      </c>
      <c r="H17">
        <f>WEEKDAY(exercicio_demonstração_aula3[[#This Row],[Data_Producao]])</f>
        <v>3</v>
      </c>
      <c r="I17" s="3">
        <v>3</v>
      </c>
      <c r="J17" s="3">
        <f t="shared" si="0"/>
        <v>3</v>
      </c>
      <c r="L17">
        <f>WEEKDAY(exercicio_demonstração_aula3[[#This Row],[Data_Prevista_Entrega]])</f>
        <v>1</v>
      </c>
      <c r="M17" s="3">
        <f>WEEKDAY(exercicio_demonstração_aula3[[#This Row],[Data_Prevista_Entrega]])</f>
        <v>1</v>
      </c>
      <c r="N17" s="3">
        <f t="shared" si="1"/>
        <v>2</v>
      </c>
    </row>
    <row r="18" spans="1:14" x14ac:dyDescent="0.25">
      <c r="A18" s="1" t="s">
        <v>31</v>
      </c>
      <c r="B18" s="2">
        <v>46238</v>
      </c>
      <c r="C18" s="2">
        <v>46242</v>
      </c>
      <c r="D18" s="1" t="s">
        <v>8</v>
      </c>
      <c r="E18" s="1" t="s">
        <v>14</v>
      </c>
      <c r="F18">
        <v>490</v>
      </c>
      <c r="G18">
        <v>10</v>
      </c>
      <c r="H18">
        <f>WEEKDAY(exercicio_demonstração_aula3[[#This Row],[Data_Producao]])</f>
        <v>3</v>
      </c>
      <c r="I18" s="3">
        <v>3</v>
      </c>
      <c r="J18" s="3">
        <f t="shared" si="0"/>
        <v>3</v>
      </c>
      <c r="L18">
        <f>WEEKDAY(exercicio_demonstração_aula3[[#This Row],[Data_Prevista_Entrega]])</f>
        <v>7</v>
      </c>
      <c r="M18" s="3">
        <f>WEEKDAY(exercicio_demonstração_aula3[[#This Row],[Data_Prevista_Entrega]])</f>
        <v>7</v>
      </c>
      <c r="N18" s="3">
        <f t="shared" si="1"/>
        <v>6</v>
      </c>
    </row>
    <row r="19" spans="1:14" x14ac:dyDescent="0.25">
      <c r="A19" s="1" t="s">
        <v>32</v>
      </c>
      <c r="B19" s="2">
        <v>46238</v>
      </c>
      <c r="C19" s="2">
        <v>46244</v>
      </c>
      <c r="D19" s="1" t="s">
        <v>13</v>
      </c>
      <c r="E19" s="1" t="s">
        <v>11</v>
      </c>
      <c r="F19">
        <v>310</v>
      </c>
      <c r="G19">
        <v>4</v>
      </c>
      <c r="H19">
        <f>WEEKDAY(exercicio_demonstração_aula3[[#This Row],[Data_Producao]])</f>
        <v>3</v>
      </c>
      <c r="I19" s="3">
        <v>3</v>
      </c>
      <c r="J19" s="3">
        <f t="shared" si="0"/>
        <v>3</v>
      </c>
      <c r="L19">
        <f>WEEKDAY(exercicio_demonstração_aula3[[#This Row],[Data_Prevista_Entrega]])</f>
        <v>2</v>
      </c>
      <c r="M19" s="3">
        <f>WEEKDAY(exercicio_demonstração_aula3[[#This Row],[Data_Prevista_Entrega]])</f>
        <v>2</v>
      </c>
      <c r="N19" s="3">
        <f t="shared" si="1"/>
        <v>2</v>
      </c>
    </row>
    <row r="20" spans="1:14" x14ac:dyDescent="0.25">
      <c r="A20" s="1" t="s">
        <v>33</v>
      </c>
      <c r="B20" s="2">
        <v>46238</v>
      </c>
      <c r="C20" s="2">
        <v>46245</v>
      </c>
      <c r="D20" s="1" t="s">
        <v>13</v>
      </c>
      <c r="E20" s="1" t="s">
        <v>16</v>
      </c>
      <c r="F20">
        <v>160</v>
      </c>
      <c r="G20">
        <v>5</v>
      </c>
      <c r="H20">
        <f>WEEKDAY(exercicio_demonstração_aula3[[#This Row],[Data_Producao]])</f>
        <v>3</v>
      </c>
      <c r="I20" s="3">
        <v>3</v>
      </c>
      <c r="J20" s="3">
        <f t="shared" si="0"/>
        <v>3</v>
      </c>
      <c r="L20">
        <f>WEEKDAY(exercicio_demonstração_aula3[[#This Row],[Data_Prevista_Entrega]])</f>
        <v>3</v>
      </c>
      <c r="M20" s="3">
        <f>WEEKDAY(exercicio_demonstração_aula3[[#This Row],[Data_Prevista_Entrega]])</f>
        <v>3</v>
      </c>
      <c r="N20" s="3">
        <f t="shared" si="1"/>
        <v>3</v>
      </c>
    </row>
    <row r="21" spans="1:14" x14ac:dyDescent="0.25">
      <c r="A21" s="1" t="s">
        <v>34</v>
      </c>
      <c r="B21" s="2">
        <v>46238</v>
      </c>
      <c r="C21" s="2">
        <v>46242</v>
      </c>
      <c r="D21" s="1" t="s">
        <v>18</v>
      </c>
      <c r="E21" s="1" t="s">
        <v>9</v>
      </c>
      <c r="F21">
        <v>455</v>
      </c>
      <c r="G21">
        <v>16</v>
      </c>
      <c r="H21">
        <f>WEEKDAY(exercicio_demonstração_aula3[[#This Row],[Data_Producao]])</f>
        <v>3</v>
      </c>
      <c r="I21" s="3">
        <v>3</v>
      </c>
      <c r="J21" s="3">
        <f t="shared" si="0"/>
        <v>3</v>
      </c>
      <c r="L21">
        <f>WEEKDAY(exercicio_demonstração_aula3[[#This Row],[Data_Prevista_Entrega]])</f>
        <v>7</v>
      </c>
      <c r="M21" s="3">
        <f>WEEKDAY(exercicio_demonstração_aula3[[#This Row],[Data_Prevista_Entrega]])</f>
        <v>7</v>
      </c>
      <c r="N21" s="3">
        <f t="shared" si="1"/>
        <v>6</v>
      </c>
    </row>
    <row r="22" spans="1:14" x14ac:dyDescent="0.25">
      <c r="A22" s="1" t="s">
        <v>35</v>
      </c>
      <c r="B22" s="2">
        <v>46239</v>
      </c>
      <c r="C22" s="2">
        <v>46244</v>
      </c>
      <c r="D22" s="1" t="s">
        <v>8</v>
      </c>
      <c r="E22" s="1" t="s">
        <v>20</v>
      </c>
      <c r="F22">
        <v>295</v>
      </c>
      <c r="G22">
        <v>2</v>
      </c>
      <c r="H22">
        <f>WEEKDAY(exercicio_demonstração_aula3[[#This Row],[Data_Producao]])</f>
        <v>4</v>
      </c>
      <c r="I22" s="3">
        <v>4</v>
      </c>
      <c r="J22" s="3">
        <f t="shared" si="0"/>
        <v>4</v>
      </c>
      <c r="L22">
        <f>WEEKDAY(exercicio_demonstração_aula3[[#This Row],[Data_Prevista_Entrega]])</f>
        <v>2</v>
      </c>
      <c r="M22" s="3">
        <f>WEEKDAY(exercicio_demonstração_aula3[[#This Row],[Data_Prevista_Entrega]])</f>
        <v>2</v>
      </c>
      <c r="N22" s="3">
        <f t="shared" si="1"/>
        <v>2</v>
      </c>
    </row>
    <row r="23" spans="1:14" x14ac:dyDescent="0.25">
      <c r="A23" s="1" t="s">
        <v>36</v>
      </c>
      <c r="B23" s="2">
        <v>46239</v>
      </c>
      <c r="C23" s="2">
        <v>46243</v>
      </c>
      <c r="D23" s="1" t="s">
        <v>8</v>
      </c>
      <c r="E23" s="1" t="s">
        <v>14</v>
      </c>
      <c r="F23">
        <v>505</v>
      </c>
      <c r="G23">
        <v>8</v>
      </c>
      <c r="H23">
        <f>WEEKDAY(exercicio_demonstração_aula3[[#This Row],[Data_Producao]])</f>
        <v>4</v>
      </c>
      <c r="I23" s="3">
        <v>4</v>
      </c>
      <c r="J23" s="3">
        <f t="shared" si="0"/>
        <v>4</v>
      </c>
      <c r="L23">
        <f>WEEKDAY(exercicio_demonstração_aula3[[#This Row],[Data_Prevista_Entrega]])</f>
        <v>1</v>
      </c>
      <c r="M23" s="3">
        <f>WEEKDAY(exercicio_demonstração_aula3[[#This Row],[Data_Prevista_Entrega]])</f>
        <v>1</v>
      </c>
      <c r="N23" s="3">
        <f t="shared" si="1"/>
        <v>2</v>
      </c>
    </row>
    <row r="24" spans="1:14" x14ac:dyDescent="0.25">
      <c r="A24" s="1" t="s">
        <v>37</v>
      </c>
      <c r="B24" s="2">
        <v>46239</v>
      </c>
      <c r="C24" s="2">
        <v>46245</v>
      </c>
      <c r="D24" s="1" t="s">
        <v>13</v>
      </c>
      <c r="E24" s="1" t="s">
        <v>11</v>
      </c>
      <c r="F24">
        <v>325</v>
      </c>
      <c r="G24">
        <v>5</v>
      </c>
      <c r="H24">
        <f>WEEKDAY(exercicio_demonstração_aula3[[#This Row],[Data_Producao]])</f>
        <v>4</v>
      </c>
      <c r="I24" s="3">
        <v>4</v>
      </c>
      <c r="J24" s="3">
        <f t="shared" si="0"/>
        <v>4</v>
      </c>
      <c r="L24">
        <f>WEEKDAY(exercicio_demonstração_aula3[[#This Row],[Data_Prevista_Entrega]])</f>
        <v>3</v>
      </c>
      <c r="M24" s="3">
        <f>WEEKDAY(exercicio_demonstração_aula3[[#This Row],[Data_Prevista_Entrega]])</f>
        <v>3</v>
      </c>
      <c r="N24" s="3">
        <f t="shared" si="1"/>
        <v>3</v>
      </c>
    </row>
    <row r="25" spans="1:14" x14ac:dyDescent="0.25">
      <c r="A25" s="1" t="s">
        <v>38</v>
      </c>
      <c r="B25" s="2">
        <v>46239</v>
      </c>
      <c r="C25" s="2">
        <v>46246</v>
      </c>
      <c r="D25" s="1" t="s">
        <v>13</v>
      </c>
      <c r="E25" s="1" t="s">
        <v>16</v>
      </c>
      <c r="F25">
        <v>150</v>
      </c>
      <c r="G25">
        <v>3</v>
      </c>
      <c r="H25">
        <f>WEEKDAY(exercicio_demonstração_aula3[[#This Row],[Data_Producao]])</f>
        <v>4</v>
      </c>
      <c r="I25" s="3">
        <v>4</v>
      </c>
      <c r="J25" s="3">
        <f t="shared" si="0"/>
        <v>4</v>
      </c>
      <c r="L25">
        <f>WEEKDAY(exercicio_demonstração_aula3[[#This Row],[Data_Prevista_Entrega]])</f>
        <v>4</v>
      </c>
      <c r="M25" s="3">
        <f>WEEKDAY(exercicio_demonstração_aula3[[#This Row],[Data_Prevista_Entrega]])</f>
        <v>4</v>
      </c>
      <c r="N25" s="3">
        <f t="shared" si="1"/>
        <v>4</v>
      </c>
    </row>
    <row r="26" spans="1:14" x14ac:dyDescent="0.25">
      <c r="A26" s="1" t="s">
        <v>39</v>
      </c>
      <c r="B26" s="2">
        <v>46239</v>
      </c>
      <c r="C26" s="2">
        <v>46243</v>
      </c>
      <c r="D26" s="1" t="s">
        <v>18</v>
      </c>
      <c r="E26" s="1" t="s">
        <v>9</v>
      </c>
      <c r="F26">
        <v>445</v>
      </c>
      <c r="G26">
        <v>13</v>
      </c>
      <c r="H26">
        <f>WEEKDAY(exercicio_demonstração_aula3[[#This Row],[Data_Producao]])</f>
        <v>4</v>
      </c>
      <c r="I26" s="3">
        <v>4</v>
      </c>
      <c r="J26" s="3">
        <f t="shared" si="0"/>
        <v>4</v>
      </c>
      <c r="L26">
        <f>WEEKDAY(exercicio_demonstração_aula3[[#This Row],[Data_Prevista_Entrega]])</f>
        <v>1</v>
      </c>
      <c r="M26" s="3">
        <f>WEEKDAY(exercicio_demonstração_aula3[[#This Row],[Data_Prevista_Entrega]])</f>
        <v>1</v>
      </c>
      <c r="N26" s="3">
        <f t="shared" si="1"/>
        <v>2</v>
      </c>
    </row>
    <row r="27" spans="1:14" x14ac:dyDescent="0.25">
      <c r="A27" s="1" t="s">
        <v>40</v>
      </c>
      <c r="B27" s="2">
        <v>46240</v>
      </c>
      <c r="C27" s="2">
        <v>46245</v>
      </c>
      <c r="D27" s="1" t="s">
        <v>8</v>
      </c>
      <c r="E27" s="1" t="s">
        <v>20</v>
      </c>
      <c r="F27">
        <v>290</v>
      </c>
      <c r="G27">
        <v>1</v>
      </c>
      <c r="H27">
        <f>WEEKDAY(exercicio_demonstração_aula3[[#This Row],[Data_Producao]])</f>
        <v>5</v>
      </c>
      <c r="I27" s="3">
        <v>5</v>
      </c>
      <c r="J27" s="3">
        <f t="shared" si="0"/>
        <v>5</v>
      </c>
      <c r="L27">
        <f>WEEKDAY(exercicio_demonstração_aula3[[#This Row],[Data_Prevista_Entrega]])</f>
        <v>3</v>
      </c>
      <c r="M27" s="3">
        <f>WEEKDAY(exercicio_demonstração_aula3[[#This Row],[Data_Prevista_Entrega]])</f>
        <v>3</v>
      </c>
      <c r="N27" s="3">
        <f t="shared" si="1"/>
        <v>3</v>
      </c>
    </row>
    <row r="28" spans="1:14" x14ac:dyDescent="0.25">
      <c r="A28" s="1" t="s">
        <v>41</v>
      </c>
      <c r="B28" s="2">
        <v>46240</v>
      </c>
      <c r="C28" s="2">
        <v>46244</v>
      </c>
      <c r="D28" s="1" t="s">
        <v>8</v>
      </c>
      <c r="E28" s="1" t="s">
        <v>14</v>
      </c>
      <c r="F28">
        <v>515</v>
      </c>
      <c r="G28">
        <v>9</v>
      </c>
      <c r="H28">
        <f>WEEKDAY(exercicio_demonstração_aula3[[#This Row],[Data_Producao]])</f>
        <v>5</v>
      </c>
      <c r="I28" s="3">
        <v>5</v>
      </c>
      <c r="J28" s="3">
        <f t="shared" si="0"/>
        <v>5</v>
      </c>
      <c r="L28">
        <f>WEEKDAY(exercicio_demonstração_aula3[[#This Row],[Data_Prevista_Entrega]])</f>
        <v>2</v>
      </c>
      <c r="M28" s="3">
        <f>WEEKDAY(exercicio_demonstração_aula3[[#This Row],[Data_Prevista_Entrega]])</f>
        <v>2</v>
      </c>
      <c r="N28" s="3">
        <f t="shared" si="1"/>
        <v>2</v>
      </c>
    </row>
    <row r="29" spans="1:14" x14ac:dyDescent="0.25">
      <c r="A29" s="1" t="s">
        <v>42</v>
      </c>
      <c r="B29" s="2">
        <v>46240</v>
      </c>
      <c r="C29" s="2">
        <v>46246</v>
      </c>
      <c r="D29" s="1" t="s">
        <v>13</v>
      </c>
      <c r="E29" s="1" t="s">
        <v>11</v>
      </c>
      <c r="F29">
        <v>320</v>
      </c>
      <c r="G29">
        <v>6</v>
      </c>
      <c r="H29">
        <f>WEEKDAY(exercicio_demonstração_aula3[[#This Row],[Data_Producao]])</f>
        <v>5</v>
      </c>
      <c r="I29" s="3">
        <v>5</v>
      </c>
      <c r="J29" s="3">
        <f t="shared" si="0"/>
        <v>5</v>
      </c>
      <c r="L29">
        <f>WEEKDAY(exercicio_demonstração_aula3[[#This Row],[Data_Prevista_Entrega]])</f>
        <v>4</v>
      </c>
      <c r="M29" s="3">
        <f>WEEKDAY(exercicio_demonstração_aula3[[#This Row],[Data_Prevista_Entrega]])</f>
        <v>4</v>
      </c>
      <c r="N29" s="3">
        <f t="shared" si="1"/>
        <v>4</v>
      </c>
    </row>
    <row r="30" spans="1:14" x14ac:dyDescent="0.25">
      <c r="A30" s="1" t="s">
        <v>43</v>
      </c>
      <c r="B30" s="2">
        <v>46240</v>
      </c>
      <c r="C30" s="2">
        <v>46247</v>
      </c>
      <c r="D30" s="1" t="s">
        <v>13</v>
      </c>
      <c r="E30" s="1" t="s">
        <v>16</v>
      </c>
      <c r="F30">
        <v>155</v>
      </c>
      <c r="G30">
        <v>4</v>
      </c>
      <c r="H30">
        <f>WEEKDAY(exercicio_demonstração_aula3[[#This Row],[Data_Producao]])</f>
        <v>5</v>
      </c>
      <c r="I30" s="3">
        <v>5</v>
      </c>
      <c r="J30" s="3">
        <f t="shared" si="0"/>
        <v>5</v>
      </c>
      <c r="L30">
        <f>WEEKDAY(exercicio_demonstração_aula3[[#This Row],[Data_Prevista_Entrega]])</f>
        <v>5</v>
      </c>
      <c r="M30" s="3">
        <f>WEEKDAY(exercicio_demonstração_aula3[[#This Row],[Data_Prevista_Entrega]])</f>
        <v>5</v>
      </c>
      <c r="N30" s="3">
        <f t="shared" si="1"/>
        <v>5</v>
      </c>
    </row>
    <row r="31" spans="1:14" x14ac:dyDescent="0.25">
      <c r="A31" s="1" t="s">
        <v>44</v>
      </c>
      <c r="B31" s="2">
        <v>46240</v>
      </c>
      <c r="C31" s="2">
        <v>46244</v>
      </c>
      <c r="D31" s="1" t="s">
        <v>18</v>
      </c>
      <c r="E31" s="1" t="s">
        <v>9</v>
      </c>
      <c r="F31">
        <v>450</v>
      </c>
      <c r="G31">
        <v>15</v>
      </c>
      <c r="H31">
        <f>WEEKDAY(exercicio_demonstração_aula3[[#This Row],[Data_Producao]])</f>
        <v>5</v>
      </c>
      <c r="I31" s="3">
        <v>5</v>
      </c>
      <c r="J31" s="3">
        <f t="shared" si="0"/>
        <v>5</v>
      </c>
      <c r="L31">
        <f>WEEKDAY(exercicio_demonstração_aula3[[#This Row],[Data_Prevista_Entrega]])</f>
        <v>2</v>
      </c>
      <c r="M31" s="3">
        <f>WEEKDAY(exercicio_demonstração_aula3[[#This Row],[Data_Prevista_Entrega]])</f>
        <v>2</v>
      </c>
      <c r="N31" s="3">
        <f t="shared" si="1"/>
        <v>2</v>
      </c>
    </row>
    <row r="32" spans="1:14" x14ac:dyDescent="0.25">
      <c r="A32" s="1" t="s">
        <v>45</v>
      </c>
      <c r="B32" s="2">
        <v>46241</v>
      </c>
      <c r="C32" s="2">
        <v>46246</v>
      </c>
      <c r="D32" s="1" t="s">
        <v>8</v>
      </c>
      <c r="E32" s="1" t="s">
        <v>20</v>
      </c>
      <c r="F32">
        <v>280</v>
      </c>
      <c r="G32">
        <v>2</v>
      </c>
      <c r="H32">
        <f>WEEKDAY(exercicio_demonstração_aula3[[#This Row],[Data_Producao]])</f>
        <v>6</v>
      </c>
      <c r="I32" s="3">
        <v>6</v>
      </c>
      <c r="J32" s="3">
        <f t="shared" si="0"/>
        <v>6</v>
      </c>
      <c r="L32">
        <f>WEEKDAY(exercicio_demonstração_aula3[[#This Row],[Data_Prevista_Entrega]])</f>
        <v>4</v>
      </c>
      <c r="M32" s="3">
        <f>WEEKDAY(exercicio_demonstração_aula3[[#This Row],[Data_Prevista_Entrega]])</f>
        <v>4</v>
      </c>
      <c r="N32" s="3">
        <f t="shared" si="1"/>
        <v>4</v>
      </c>
    </row>
    <row r="33" spans="1:14" x14ac:dyDescent="0.25">
      <c r="A33" s="1" t="s">
        <v>46</v>
      </c>
      <c r="B33" s="2">
        <v>46241</v>
      </c>
      <c r="C33" s="2">
        <v>46245</v>
      </c>
      <c r="D33" s="1" t="s">
        <v>8</v>
      </c>
      <c r="E33" s="1" t="s">
        <v>14</v>
      </c>
      <c r="F33">
        <v>495</v>
      </c>
      <c r="G33">
        <v>11</v>
      </c>
      <c r="H33">
        <f>WEEKDAY(exercicio_demonstração_aula3[[#This Row],[Data_Producao]])</f>
        <v>6</v>
      </c>
      <c r="I33" s="3">
        <v>6</v>
      </c>
      <c r="J33" s="3">
        <f t="shared" si="0"/>
        <v>6</v>
      </c>
      <c r="L33">
        <f>WEEKDAY(exercicio_demonstração_aula3[[#This Row],[Data_Prevista_Entrega]])</f>
        <v>3</v>
      </c>
      <c r="M33" s="3">
        <f>WEEKDAY(exercicio_demonstração_aula3[[#This Row],[Data_Prevista_Entrega]])</f>
        <v>3</v>
      </c>
      <c r="N33" s="3">
        <f t="shared" si="1"/>
        <v>3</v>
      </c>
    </row>
    <row r="34" spans="1:14" x14ac:dyDescent="0.25">
      <c r="A34" s="1" t="s">
        <v>47</v>
      </c>
      <c r="B34" s="2">
        <v>46241</v>
      </c>
      <c r="C34" s="2">
        <v>46247</v>
      </c>
      <c r="D34" s="1" t="s">
        <v>13</v>
      </c>
      <c r="E34" s="1" t="s">
        <v>11</v>
      </c>
      <c r="F34">
        <v>315</v>
      </c>
      <c r="G34">
        <v>4</v>
      </c>
      <c r="H34">
        <f>WEEKDAY(exercicio_demonstração_aula3[[#This Row],[Data_Producao]])</f>
        <v>6</v>
      </c>
      <c r="I34" s="3">
        <v>6</v>
      </c>
      <c r="J34" s="3">
        <f t="shared" si="0"/>
        <v>6</v>
      </c>
      <c r="L34">
        <f>WEEKDAY(exercicio_demonstração_aula3[[#This Row],[Data_Prevista_Entrega]])</f>
        <v>5</v>
      </c>
      <c r="M34" s="3">
        <f>WEEKDAY(exercicio_demonstração_aula3[[#This Row],[Data_Prevista_Entrega]])</f>
        <v>5</v>
      </c>
      <c r="N34" s="3">
        <f t="shared" si="1"/>
        <v>5</v>
      </c>
    </row>
    <row r="35" spans="1:14" x14ac:dyDescent="0.25">
      <c r="A35" s="1" t="s">
        <v>48</v>
      </c>
      <c r="B35" s="2">
        <v>46241</v>
      </c>
      <c r="C35" s="2">
        <v>46248</v>
      </c>
      <c r="D35" s="1" t="s">
        <v>13</v>
      </c>
      <c r="E35" s="1" t="s">
        <v>16</v>
      </c>
      <c r="F35">
        <v>148</v>
      </c>
      <c r="G35">
        <v>2</v>
      </c>
      <c r="H35">
        <f>WEEKDAY(exercicio_demonstração_aula3[[#This Row],[Data_Producao]])</f>
        <v>6</v>
      </c>
      <c r="I35" s="3">
        <v>6</v>
      </c>
      <c r="J35" s="3">
        <f t="shared" si="0"/>
        <v>6</v>
      </c>
      <c r="L35">
        <f>WEEKDAY(exercicio_demonstração_aula3[[#This Row],[Data_Prevista_Entrega]])</f>
        <v>6</v>
      </c>
      <c r="M35" s="3">
        <f>WEEKDAY(exercicio_demonstração_aula3[[#This Row],[Data_Prevista_Entrega]])</f>
        <v>6</v>
      </c>
      <c r="N35" s="3">
        <f t="shared" si="1"/>
        <v>6</v>
      </c>
    </row>
    <row r="36" spans="1:14" x14ac:dyDescent="0.25">
      <c r="A36" s="1" t="s">
        <v>49</v>
      </c>
      <c r="B36" s="2">
        <v>46241</v>
      </c>
      <c r="C36" s="2">
        <v>46245</v>
      </c>
      <c r="D36" s="1" t="s">
        <v>18</v>
      </c>
      <c r="E36" s="1" t="s">
        <v>9</v>
      </c>
      <c r="F36">
        <v>435</v>
      </c>
      <c r="G36">
        <v>17</v>
      </c>
      <c r="H36">
        <f>WEEKDAY(exercicio_demonstração_aula3[[#This Row],[Data_Producao]])</f>
        <v>6</v>
      </c>
      <c r="I36" s="3">
        <v>6</v>
      </c>
      <c r="J36" s="3">
        <f t="shared" si="0"/>
        <v>6</v>
      </c>
      <c r="L36">
        <f>WEEKDAY(exercicio_demonstração_aula3[[#This Row],[Data_Prevista_Entrega]])</f>
        <v>3</v>
      </c>
      <c r="M36" s="3">
        <f>WEEKDAY(exercicio_demonstração_aula3[[#This Row],[Data_Prevista_Entrega]])</f>
        <v>3</v>
      </c>
      <c r="N36" s="3">
        <f t="shared" si="1"/>
        <v>3</v>
      </c>
    </row>
    <row r="37" spans="1:14" x14ac:dyDescent="0.25">
      <c r="A37" s="1" t="s">
        <v>50</v>
      </c>
      <c r="B37" s="2">
        <v>46242</v>
      </c>
      <c r="C37" s="2">
        <v>46247</v>
      </c>
      <c r="D37" s="1" t="s">
        <v>8</v>
      </c>
      <c r="E37" s="1" t="s">
        <v>20</v>
      </c>
      <c r="F37">
        <v>305</v>
      </c>
      <c r="G37">
        <v>3</v>
      </c>
      <c r="H37">
        <f>WEEKDAY(exercicio_demonstração_aula3[[#This Row],[Data_Producao]])</f>
        <v>7</v>
      </c>
      <c r="I37" s="3">
        <v>7</v>
      </c>
      <c r="J37" s="3">
        <f t="shared" si="0"/>
        <v>6</v>
      </c>
      <c r="L37">
        <f>WEEKDAY(exercicio_demonstração_aula3[[#This Row],[Data_Prevista_Entrega]])</f>
        <v>5</v>
      </c>
      <c r="M37" s="3">
        <f>WEEKDAY(exercicio_demonstração_aula3[[#This Row],[Data_Prevista_Entrega]])</f>
        <v>5</v>
      </c>
      <c r="N37" s="3">
        <f t="shared" si="1"/>
        <v>5</v>
      </c>
    </row>
    <row r="38" spans="1:14" x14ac:dyDescent="0.25">
      <c r="A38" s="1" t="s">
        <v>51</v>
      </c>
      <c r="B38" s="2">
        <v>46242</v>
      </c>
      <c r="C38" s="2">
        <v>46246</v>
      </c>
      <c r="D38" s="1" t="s">
        <v>8</v>
      </c>
      <c r="E38" s="1" t="s">
        <v>14</v>
      </c>
      <c r="F38">
        <v>510</v>
      </c>
      <c r="G38">
        <v>7</v>
      </c>
      <c r="H38">
        <f>WEEKDAY(exercicio_demonstração_aula3[[#This Row],[Data_Producao]])</f>
        <v>7</v>
      </c>
      <c r="I38" s="3">
        <v>7</v>
      </c>
      <c r="J38" s="3">
        <f t="shared" si="0"/>
        <v>6</v>
      </c>
      <c r="L38">
        <f>WEEKDAY(exercicio_demonstração_aula3[[#This Row],[Data_Prevista_Entrega]])</f>
        <v>4</v>
      </c>
      <c r="M38" s="3">
        <f>WEEKDAY(exercicio_demonstração_aula3[[#This Row],[Data_Prevista_Entrega]])</f>
        <v>4</v>
      </c>
      <c r="N38" s="3">
        <f t="shared" si="1"/>
        <v>4</v>
      </c>
    </row>
    <row r="39" spans="1:14" x14ac:dyDescent="0.25">
      <c r="A39" s="1" t="s">
        <v>52</v>
      </c>
      <c r="B39" s="2">
        <v>46242</v>
      </c>
      <c r="C39" s="2">
        <v>46248</v>
      </c>
      <c r="D39" s="1" t="s">
        <v>13</v>
      </c>
      <c r="E39" s="1" t="s">
        <v>11</v>
      </c>
      <c r="F39">
        <v>335</v>
      </c>
      <c r="G39">
        <v>5</v>
      </c>
      <c r="H39">
        <f>WEEKDAY(exercicio_demonstração_aula3[[#This Row],[Data_Producao]])</f>
        <v>7</v>
      </c>
      <c r="I39" s="3">
        <v>7</v>
      </c>
      <c r="J39" s="3">
        <f t="shared" si="0"/>
        <v>6</v>
      </c>
      <c r="L39">
        <f>WEEKDAY(exercicio_demonstração_aula3[[#This Row],[Data_Prevista_Entrega]])</f>
        <v>6</v>
      </c>
      <c r="M39" s="3">
        <f>WEEKDAY(exercicio_demonstração_aula3[[#This Row],[Data_Prevista_Entrega]])</f>
        <v>6</v>
      </c>
      <c r="N39" s="3">
        <f t="shared" si="1"/>
        <v>6</v>
      </c>
    </row>
    <row r="40" spans="1:14" x14ac:dyDescent="0.25">
      <c r="A40" s="1" t="s">
        <v>53</v>
      </c>
      <c r="B40" s="2">
        <v>46242</v>
      </c>
      <c r="C40" s="2">
        <v>46249</v>
      </c>
      <c r="D40" s="1" t="s">
        <v>13</v>
      </c>
      <c r="E40" s="1" t="s">
        <v>16</v>
      </c>
      <c r="F40">
        <v>152</v>
      </c>
      <c r="G40">
        <v>3</v>
      </c>
      <c r="H40">
        <f>WEEKDAY(exercicio_demonstração_aula3[[#This Row],[Data_Producao]])</f>
        <v>7</v>
      </c>
      <c r="I40" s="3">
        <v>7</v>
      </c>
      <c r="J40" s="3">
        <f t="shared" si="0"/>
        <v>6</v>
      </c>
      <c r="L40">
        <f>WEEKDAY(exercicio_demonstração_aula3[[#This Row],[Data_Prevista_Entrega]])</f>
        <v>7</v>
      </c>
      <c r="M40" s="3">
        <f>WEEKDAY(exercicio_demonstração_aula3[[#This Row],[Data_Prevista_Entrega]])</f>
        <v>7</v>
      </c>
      <c r="N40" s="3">
        <f t="shared" si="1"/>
        <v>6</v>
      </c>
    </row>
    <row r="41" spans="1:14" x14ac:dyDescent="0.25">
      <c r="A41" s="1" t="s">
        <v>54</v>
      </c>
      <c r="B41" s="2">
        <v>46242</v>
      </c>
      <c r="C41" s="2">
        <v>46246</v>
      </c>
      <c r="D41" s="1" t="s">
        <v>18</v>
      </c>
      <c r="E41" s="1" t="s">
        <v>9</v>
      </c>
      <c r="F41">
        <v>460</v>
      </c>
      <c r="G41">
        <v>14</v>
      </c>
      <c r="H41">
        <f>WEEKDAY(exercicio_demonstração_aula3[[#This Row],[Data_Producao]])</f>
        <v>7</v>
      </c>
      <c r="I41" s="3">
        <v>7</v>
      </c>
      <c r="J41" s="3">
        <f t="shared" si="0"/>
        <v>6</v>
      </c>
      <c r="L41">
        <f>WEEKDAY(exercicio_demonstração_aula3[[#This Row],[Data_Prevista_Entrega]])</f>
        <v>4</v>
      </c>
      <c r="M41" s="3">
        <f>WEEKDAY(exercicio_demonstração_aula3[[#This Row],[Data_Prevista_Entrega]])</f>
        <v>4</v>
      </c>
      <c r="N41" s="3">
        <f t="shared" si="1"/>
        <v>4</v>
      </c>
    </row>
    <row r="42" spans="1:14" x14ac:dyDescent="0.25">
      <c r="A42" s="1" t="s">
        <v>55</v>
      </c>
      <c r="B42" s="2">
        <v>46243</v>
      </c>
      <c r="C42" s="2">
        <v>46248</v>
      </c>
      <c r="D42" s="1" t="s">
        <v>8</v>
      </c>
      <c r="E42" s="1" t="s">
        <v>20</v>
      </c>
      <c r="F42">
        <v>295</v>
      </c>
      <c r="G42">
        <v>1</v>
      </c>
      <c r="H42">
        <f>WEEKDAY(exercicio_demonstração_aula3[[#This Row],[Data_Producao]])</f>
        <v>1</v>
      </c>
      <c r="I42" s="3">
        <v>1</v>
      </c>
      <c r="J42" s="3">
        <f t="shared" si="0"/>
        <v>2</v>
      </c>
      <c r="L42">
        <f>WEEKDAY(exercicio_demonstração_aula3[[#This Row],[Data_Prevista_Entrega]])</f>
        <v>6</v>
      </c>
      <c r="M42" s="3">
        <f>WEEKDAY(exercicio_demonstração_aula3[[#This Row],[Data_Prevista_Entrega]])</f>
        <v>6</v>
      </c>
      <c r="N42" s="3">
        <f t="shared" si="1"/>
        <v>6</v>
      </c>
    </row>
    <row r="43" spans="1:14" x14ac:dyDescent="0.25">
      <c r="A43" s="1" t="s">
        <v>56</v>
      </c>
      <c r="B43" s="2">
        <v>46243</v>
      </c>
      <c r="C43" s="2">
        <v>46247</v>
      </c>
      <c r="D43" s="1" t="s">
        <v>8</v>
      </c>
      <c r="E43" s="1" t="s">
        <v>14</v>
      </c>
      <c r="F43">
        <v>500</v>
      </c>
      <c r="G43">
        <v>8</v>
      </c>
      <c r="H43">
        <f>WEEKDAY(exercicio_demonstração_aula3[[#This Row],[Data_Producao]])</f>
        <v>1</v>
      </c>
      <c r="I43" s="3">
        <v>1</v>
      </c>
      <c r="J43" s="3">
        <f t="shared" si="0"/>
        <v>2</v>
      </c>
      <c r="L43">
        <f>WEEKDAY(exercicio_demonstração_aula3[[#This Row],[Data_Prevista_Entrega]])</f>
        <v>5</v>
      </c>
      <c r="M43" s="3">
        <f>WEEKDAY(exercicio_demonstração_aula3[[#This Row],[Data_Prevista_Entrega]])</f>
        <v>5</v>
      </c>
      <c r="N43" s="3">
        <f t="shared" si="1"/>
        <v>5</v>
      </c>
    </row>
    <row r="44" spans="1:14" x14ac:dyDescent="0.25">
      <c r="A44" s="1" t="s">
        <v>57</v>
      </c>
      <c r="B44" s="2">
        <v>46243</v>
      </c>
      <c r="C44" s="2">
        <v>46249</v>
      </c>
      <c r="D44" s="1" t="s">
        <v>13</v>
      </c>
      <c r="E44" s="1" t="s">
        <v>11</v>
      </c>
      <c r="F44">
        <v>325</v>
      </c>
      <c r="G44">
        <v>6</v>
      </c>
      <c r="H44">
        <f>WEEKDAY(exercicio_demonstração_aula3[[#This Row],[Data_Producao]])</f>
        <v>1</v>
      </c>
      <c r="I44" s="3">
        <v>1</v>
      </c>
      <c r="J44" s="3">
        <f t="shared" si="0"/>
        <v>2</v>
      </c>
      <c r="L44">
        <f>WEEKDAY(exercicio_demonstração_aula3[[#This Row],[Data_Prevista_Entrega]])</f>
        <v>7</v>
      </c>
      <c r="M44" s="3">
        <f>WEEKDAY(exercicio_demonstração_aula3[[#This Row],[Data_Prevista_Entrega]])</f>
        <v>7</v>
      </c>
      <c r="N44" s="3">
        <f t="shared" si="1"/>
        <v>6</v>
      </c>
    </row>
    <row r="45" spans="1:14" x14ac:dyDescent="0.25">
      <c r="A45" s="1" t="s">
        <v>58</v>
      </c>
      <c r="B45" s="2">
        <v>46243</v>
      </c>
      <c r="C45" s="2">
        <v>46250</v>
      </c>
      <c r="D45" s="1" t="s">
        <v>13</v>
      </c>
      <c r="E45" s="1" t="s">
        <v>16</v>
      </c>
      <c r="F45">
        <v>158</v>
      </c>
      <c r="G45">
        <v>4</v>
      </c>
      <c r="H45">
        <f>WEEKDAY(exercicio_demonstração_aula3[[#This Row],[Data_Producao]])</f>
        <v>1</v>
      </c>
      <c r="I45" s="3">
        <v>1</v>
      </c>
      <c r="J45" s="3">
        <f t="shared" si="0"/>
        <v>2</v>
      </c>
      <c r="L45">
        <f>WEEKDAY(exercicio_demonstração_aula3[[#This Row],[Data_Prevista_Entrega]])</f>
        <v>1</v>
      </c>
      <c r="M45" s="3">
        <f>WEEKDAY(exercicio_demonstração_aula3[[#This Row],[Data_Prevista_Entrega]])</f>
        <v>1</v>
      </c>
      <c r="N45" s="3">
        <f t="shared" si="1"/>
        <v>2</v>
      </c>
    </row>
    <row r="46" spans="1:14" x14ac:dyDescent="0.25">
      <c r="A46" s="1" t="s">
        <v>59</v>
      </c>
      <c r="B46" s="2">
        <v>46243</v>
      </c>
      <c r="C46" s="2">
        <v>46247</v>
      </c>
      <c r="D46" s="1" t="s">
        <v>18</v>
      </c>
      <c r="E46" s="1" t="s">
        <v>9</v>
      </c>
      <c r="F46">
        <v>440</v>
      </c>
      <c r="G46">
        <v>16</v>
      </c>
      <c r="H46">
        <f>WEEKDAY(exercicio_demonstração_aula3[[#This Row],[Data_Producao]])</f>
        <v>1</v>
      </c>
      <c r="I46" s="3">
        <v>1</v>
      </c>
      <c r="J46" s="3">
        <f t="shared" si="0"/>
        <v>2</v>
      </c>
      <c r="L46">
        <f>WEEKDAY(exercicio_demonstração_aula3[[#This Row],[Data_Prevista_Entrega]])</f>
        <v>5</v>
      </c>
      <c r="M46" s="3">
        <f>WEEKDAY(exercicio_demonstração_aula3[[#This Row],[Data_Prevista_Entrega]])</f>
        <v>5</v>
      </c>
      <c r="N46" s="3">
        <f t="shared" si="1"/>
        <v>5</v>
      </c>
    </row>
    <row r="47" spans="1:14" x14ac:dyDescent="0.25">
      <c r="A47" s="1" t="s">
        <v>60</v>
      </c>
      <c r="B47" s="2">
        <v>46244</v>
      </c>
      <c r="C47" s="2">
        <v>46249</v>
      </c>
      <c r="D47" s="1" t="s">
        <v>8</v>
      </c>
      <c r="E47" s="1" t="s">
        <v>20</v>
      </c>
      <c r="F47">
        <v>285</v>
      </c>
      <c r="G47">
        <v>2</v>
      </c>
      <c r="H47">
        <f>WEEKDAY(exercicio_demonstração_aula3[[#This Row],[Data_Producao]])</f>
        <v>2</v>
      </c>
      <c r="I47" s="3">
        <v>2</v>
      </c>
      <c r="J47" s="3">
        <f t="shared" si="0"/>
        <v>2</v>
      </c>
      <c r="L47">
        <f>WEEKDAY(exercicio_demonstração_aula3[[#This Row],[Data_Prevista_Entrega]])</f>
        <v>7</v>
      </c>
      <c r="M47" s="3">
        <f>WEEKDAY(exercicio_demonstração_aula3[[#This Row],[Data_Prevista_Entrega]])</f>
        <v>7</v>
      </c>
      <c r="N47" s="3">
        <f t="shared" si="1"/>
        <v>6</v>
      </c>
    </row>
    <row r="48" spans="1:14" x14ac:dyDescent="0.25">
      <c r="A48" s="1" t="s">
        <v>61</v>
      </c>
      <c r="B48" s="2">
        <v>46244</v>
      </c>
      <c r="C48" s="2">
        <v>46248</v>
      </c>
      <c r="D48" s="1" t="s">
        <v>8</v>
      </c>
      <c r="E48" s="1" t="s">
        <v>14</v>
      </c>
      <c r="F48">
        <v>520</v>
      </c>
      <c r="G48">
        <v>10</v>
      </c>
      <c r="H48">
        <f>WEEKDAY(exercicio_demonstração_aula3[[#This Row],[Data_Producao]])</f>
        <v>2</v>
      </c>
      <c r="I48" s="3">
        <v>2</v>
      </c>
      <c r="J48" s="3">
        <f t="shared" si="0"/>
        <v>2</v>
      </c>
      <c r="L48">
        <f>WEEKDAY(exercicio_demonstração_aula3[[#This Row],[Data_Prevista_Entrega]])</f>
        <v>6</v>
      </c>
      <c r="M48" s="3">
        <f>WEEKDAY(exercicio_demonstração_aula3[[#This Row],[Data_Prevista_Entrega]])</f>
        <v>6</v>
      </c>
      <c r="N48" s="3">
        <f t="shared" si="1"/>
        <v>6</v>
      </c>
    </row>
    <row r="49" spans="1:14" x14ac:dyDescent="0.25">
      <c r="A49" s="1" t="s">
        <v>62</v>
      </c>
      <c r="B49" s="2">
        <v>46244</v>
      </c>
      <c r="C49" s="2">
        <v>46250</v>
      </c>
      <c r="D49" s="1" t="s">
        <v>13</v>
      </c>
      <c r="E49" s="1" t="s">
        <v>11</v>
      </c>
      <c r="F49">
        <v>310</v>
      </c>
      <c r="G49">
        <v>3</v>
      </c>
      <c r="H49">
        <f>WEEKDAY(exercicio_demonstração_aula3[[#This Row],[Data_Producao]])</f>
        <v>2</v>
      </c>
      <c r="I49" s="3">
        <v>2</v>
      </c>
      <c r="J49" s="3">
        <f t="shared" si="0"/>
        <v>2</v>
      </c>
      <c r="L49">
        <f>WEEKDAY(exercicio_demonstração_aula3[[#This Row],[Data_Prevista_Entrega]])</f>
        <v>1</v>
      </c>
      <c r="M49" s="3">
        <f>WEEKDAY(exercicio_demonstração_aula3[[#This Row],[Data_Prevista_Entrega]])</f>
        <v>1</v>
      </c>
      <c r="N49" s="3">
        <f t="shared" si="1"/>
        <v>2</v>
      </c>
    </row>
    <row r="50" spans="1:14" x14ac:dyDescent="0.25">
      <c r="A50" s="1" t="s">
        <v>63</v>
      </c>
      <c r="B50" s="2">
        <v>46244</v>
      </c>
      <c r="C50" s="2">
        <v>46251</v>
      </c>
      <c r="D50" s="1" t="s">
        <v>13</v>
      </c>
      <c r="E50" s="1" t="s">
        <v>16</v>
      </c>
      <c r="F50">
        <v>145</v>
      </c>
      <c r="G50">
        <v>1</v>
      </c>
      <c r="H50">
        <f>WEEKDAY(exercicio_demonstração_aula3[[#This Row],[Data_Producao]])</f>
        <v>2</v>
      </c>
      <c r="I50" s="3">
        <v>2</v>
      </c>
      <c r="J50" s="3">
        <f t="shared" si="0"/>
        <v>2</v>
      </c>
      <c r="L50">
        <f>WEEKDAY(exercicio_demonstração_aula3[[#This Row],[Data_Prevista_Entrega]])</f>
        <v>2</v>
      </c>
      <c r="M50" s="3">
        <f>WEEKDAY(exercicio_demonstração_aula3[[#This Row],[Data_Prevista_Entrega]])</f>
        <v>2</v>
      </c>
      <c r="N50" s="3">
        <f t="shared" si="1"/>
        <v>2</v>
      </c>
    </row>
    <row r="51" spans="1:14" x14ac:dyDescent="0.25">
      <c r="A51" s="1" t="s">
        <v>64</v>
      </c>
      <c r="B51" s="2">
        <v>46244</v>
      </c>
      <c r="C51" s="2">
        <v>46248</v>
      </c>
      <c r="D51" s="1" t="s">
        <v>18</v>
      </c>
      <c r="E51" s="1" t="s">
        <v>9</v>
      </c>
      <c r="F51">
        <v>455</v>
      </c>
      <c r="G51">
        <v>15</v>
      </c>
      <c r="H51">
        <f>WEEKDAY(exercicio_demonstração_aula3[[#This Row],[Data_Producao]])</f>
        <v>2</v>
      </c>
      <c r="I51" s="3">
        <v>2</v>
      </c>
      <c r="J51" s="3">
        <f t="shared" si="0"/>
        <v>2</v>
      </c>
      <c r="L51">
        <f>WEEKDAY(exercicio_demonstração_aula3[[#This Row],[Data_Prevista_Entrega]])</f>
        <v>6</v>
      </c>
      <c r="M51" s="3">
        <f>WEEKDAY(exercicio_demonstração_aula3[[#This Row],[Data_Prevista_Entrega]])</f>
        <v>6</v>
      </c>
      <c r="N51" s="3">
        <f t="shared" si="1"/>
        <v>6</v>
      </c>
    </row>
    <row r="52" spans="1:14" x14ac:dyDescent="0.25">
      <c r="A52" s="1" t="s">
        <v>65</v>
      </c>
      <c r="B52" s="2">
        <v>46245</v>
      </c>
      <c r="C52" s="2">
        <v>46250</v>
      </c>
      <c r="D52" s="1" t="s">
        <v>8</v>
      </c>
      <c r="E52" s="1" t="s">
        <v>20</v>
      </c>
      <c r="F52">
        <v>300</v>
      </c>
      <c r="G52">
        <v>3</v>
      </c>
      <c r="H52">
        <f>WEEKDAY(exercicio_demonstração_aula3[[#This Row],[Data_Producao]])</f>
        <v>3</v>
      </c>
      <c r="I52" s="3">
        <v>3</v>
      </c>
      <c r="J52" s="3">
        <f t="shared" si="0"/>
        <v>3</v>
      </c>
      <c r="L52">
        <f>WEEKDAY(exercicio_demonstração_aula3[[#This Row],[Data_Prevista_Entrega]])</f>
        <v>1</v>
      </c>
      <c r="M52" s="3">
        <f>WEEKDAY(exercicio_demonstração_aula3[[#This Row],[Data_Prevista_Entrega]])</f>
        <v>1</v>
      </c>
      <c r="N52" s="3">
        <f t="shared" si="1"/>
        <v>2</v>
      </c>
    </row>
    <row r="53" spans="1:14" x14ac:dyDescent="0.25">
      <c r="A53" s="1" t="s">
        <v>66</v>
      </c>
      <c r="B53" s="2">
        <v>46245</v>
      </c>
      <c r="C53" s="2">
        <v>46249</v>
      </c>
      <c r="D53" s="1" t="s">
        <v>8</v>
      </c>
      <c r="E53" s="1" t="s">
        <v>14</v>
      </c>
      <c r="F53">
        <v>490</v>
      </c>
      <c r="G53">
        <v>12</v>
      </c>
      <c r="H53">
        <f>WEEKDAY(exercicio_demonstração_aula3[[#This Row],[Data_Producao]])</f>
        <v>3</v>
      </c>
      <c r="I53" s="3">
        <v>3</v>
      </c>
      <c r="J53" s="3">
        <f t="shared" si="0"/>
        <v>3</v>
      </c>
      <c r="L53">
        <f>WEEKDAY(exercicio_demonstração_aula3[[#This Row],[Data_Prevista_Entrega]])</f>
        <v>7</v>
      </c>
      <c r="M53" s="3">
        <f>WEEKDAY(exercicio_demonstração_aula3[[#This Row],[Data_Prevista_Entrega]])</f>
        <v>7</v>
      </c>
      <c r="N53" s="3">
        <f t="shared" si="1"/>
        <v>6</v>
      </c>
    </row>
    <row r="54" spans="1:14" x14ac:dyDescent="0.25">
      <c r="A54" s="1" t="s">
        <v>67</v>
      </c>
      <c r="B54" s="2">
        <v>46245</v>
      </c>
      <c r="C54" s="2">
        <v>46251</v>
      </c>
      <c r="D54" s="1" t="s">
        <v>13</v>
      </c>
      <c r="E54" s="1" t="s">
        <v>11</v>
      </c>
      <c r="F54">
        <v>330</v>
      </c>
      <c r="G54">
        <v>7</v>
      </c>
      <c r="H54">
        <f>WEEKDAY(exercicio_demonstração_aula3[[#This Row],[Data_Producao]])</f>
        <v>3</v>
      </c>
      <c r="I54" s="3">
        <v>3</v>
      </c>
      <c r="J54" s="3">
        <f t="shared" si="0"/>
        <v>3</v>
      </c>
      <c r="L54">
        <f>WEEKDAY(exercicio_demonstração_aula3[[#This Row],[Data_Prevista_Entrega]])</f>
        <v>2</v>
      </c>
      <c r="M54" s="3">
        <f>WEEKDAY(exercicio_demonstração_aula3[[#This Row],[Data_Prevista_Entrega]])</f>
        <v>2</v>
      </c>
      <c r="N54" s="3">
        <f t="shared" si="1"/>
        <v>2</v>
      </c>
    </row>
    <row r="55" spans="1:14" x14ac:dyDescent="0.25">
      <c r="A55" s="1" t="s">
        <v>68</v>
      </c>
      <c r="B55" s="2">
        <v>46245</v>
      </c>
      <c r="C55" s="2">
        <v>46252</v>
      </c>
      <c r="D55" s="1" t="s">
        <v>13</v>
      </c>
      <c r="E55" s="1" t="s">
        <v>16</v>
      </c>
      <c r="F55">
        <v>160</v>
      </c>
      <c r="G55">
        <v>5</v>
      </c>
      <c r="H55">
        <f>WEEKDAY(exercicio_demonstração_aula3[[#This Row],[Data_Producao]])</f>
        <v>3</v>
      </c>
      <c r="I55" s="3">
        <v>3</v>
      </c>
      <c r="J55" s="3">
        <f t="shared" si="0"/>
        <v>3</v>
      </c>
      <c r="L55">
        <f>WEEKDAY(exercicio_demonstração_aula3[[#This Row],[Data_Prevista_Entrega]])</f>
        <v>3</v>
      </c>
      <c r="M55" s="3">
        <f>WEEKDAY(exercicio_demonstração_aula3[[#This Row],[Data_Prevista_Entrega]])</f>
        <v>3</v>
      </c>
      <c r="N55" s="3">
        <f t="shared" si="1"/>
        <v>3</v>
      </c>
    </row>
    <row r="56" spans="1:14" x14ac:dyDescent="0.25">
      <c r="A56" s="1" t="s">
        <v>69</v>
      </c>
      <c r="B56" s="2">
        <v>46245</v>
      </c>
      <c r="C56" s="2">
        <v>46249</v>
      </c>
      <c r="D56" s="1" t="s">
        <v>18</v>
      </c>
      <c r="E56" s="1" t="s">
        <v>9</v>
      </c>
      <c r="F56">
        <v>430</v>
      </c>
      <c r="G56">
        <v>18</v>
      </c>
      <c r="H56">
        <f>WEEKDAY(exercicio_demonstração_aula3[[#This Row],[Data_Producao]])</f>
        <v>3</v>
      </c>
      <c r="I56" s="3">
        <v>3</v>
      </c>
      <c r="J56" s="3">
        <f t="shared" si="0"/>
        <v>3</v>
      </c>
      <c r="L56">
        <f>WEEKDAY(exercicio_demonstração_aula3[[#This Row],[Data_Prevista_Entrega]])</f>
        <v>7</v>
      </c>
      <c r="M56" s="3">
        <f>WEEKDAY(exercicio_demonstração_aula3[[#This Row],[Data_Prevista_Entrega]])</f>
        <v>7</v>
      </c>
      <c r="N56" s="3">
        <f t="shared" si="1"/>
        <v>6</v>
      </c>
    </row>
    <row r="57" spans="1:14" x14ac:dyDescent="0.25">
      <c r="A57" s="1" t="s">
        <v>70</v>
      </c>
      <c r="B57" s="2">
        <v>46246</v>
      </c>
      <c r="C57" s="2">
        <v>46251</v>
      </c>
      <c r="D57" s="1" t="s">
        <v>8</v>
      </c>
      <c r="E57" s="1" t="s">
        <v>20</v>
      </c>
      <c r="F57">
        <v>290</v>
      </c>
      <c r="G57">
        <v>2</v>
      </c>
      <c r="H57">
        <f>WEEKDAY(exercicio_demonstração_aula3[[#This Row],[Data_Producao]])</f>
        <v>4</v>
      </c>
      <c r="I57" s="3">
        <v>4</v>
      </c>
      <c r="J57" s="3">
        <f t="shared" si="0"/>
        <v>4</v>
      </c>
      <c r="L57">
        <f>WEEKDAY(exercicio_demonstração_aula3[[#This Row],[Data_Prevista_Entrega]])</f>
        <v>2</v>
      </c>
      <c r="M57" s="3">
        <f>WEEKDAY(exercicio_demonstração_aula3[[#This Row],[Data_Prevista_Entrega]])</f>
        <v>2</v>
      </c>
      <c r="N57" s="3">
        <f t="shared" si="1"/>
        <v>2</v>
      </c>
    </row>
    <row r="58" spans="1:14" x14ac:dyDescent="0.25">
      <c r="A58" s="1" t="s">
        <v>71</v>
      </c>
      <c r="B58" s="2">
        <v>46246</v>
      </c>
      <c r="C58" s="2">
        <v>46250</v>
      </c>
      <c r="D58" s="1" t="s">
        <v>8</v>
      </c>
      <c r="E58" s="1" t="s">
        <v>14</v>
      </c>
      <c r="F58">
        <v>505</v>
      </c>
      <c r="G58">
        <v>9</v>
      </c>
      <c r="H58">
        <f>WEEKDAY(exercicio_demonstração_aula3[[#This Row],[Data_Producao]])</f>
        <v>4</v>
      </c>
      <c r="I58" s="3">
        <v>4</v>
      </c>
      <c r="J58" s="3">
        <f t="shared" si="0"/>
        <v>4</v>
      </c>
      <c r="L58">
        <f>WEEKDAY(exercicio_demonstração_aula3[[#This Row],[Data_Prevista_Entrega]])</f>
        <v>1</v>
      </c>
      <c r="M58" s="3">
        <f>WEEKDAY(exercicio_demonstração_aula3[[#This Row],[Data_Prevista_Entrega]])</f>
        <v>1</v>
      </c>
      <c r="N58" s="3">
        <f t="shared" si="1"/>
        <v>2</v>
      </c>
    </row>
    <row r="59" spans="1:14" x14ac:dyDescent="0.25">
      <c r="A59" s="1" t="s">
        <v>72</v>
      </c>
      <c r="B59" s="2">
        <v>46246</v>
      </c>
      <c r="C59" s="2">
        <v>46252</v>
      </c>
      <c r="D59" s="1" t="s">
        <v>13</v>
      </c>
      <c r="E59" s="1" t="s">
        <v>11</v>
      </c>
      <c r="F59">
        <v>320</v>
      </c>
      <c r="G59">
        <v>4</v>
      </c>
      <c r="H59">
        <f>WEEKDAY(exercicio_demonstração_aula3[[#This Row],[Data_Producao]])</f>
        <v>4</v>
      </c>
      <c r="I59" s="3">
        <v>4</v>
      </c>
      <c r="J59" s="3">
        <f t="shared" si="0"/>
        <v>4</v>
      </c>
      <c r="L59">
        <f>WEEKDAY(exercicio_demonstração_aula3[[#This Row],[Data_Prevista_Entrega]])</f>
        <v>3</v>
      </c>
      <c r="M59" s="3">
        <f>WEEKDAY(exercicio_demonstração_aula3[[#This Row],[Data_Prevista_Entrega]])</f>
        <v>3</v>
      </c>
      <c r="N59" s="3">
        <f t="shared" si="1"/>
        <v>3</v>
      </c>
    </row>
    <row r="60" spans="1:14" x14ac:dyDescent="0.25">
      <c r="A60" s="1" t="s">
        <v>73</v>
      </c>
      <c r="B60" s="2">
        <v>46246</v>
      </c>
      <c r="C60" s="2">
        <v>46253</v>
      </c>
      <c r="D60" s="1" t="s">
        <v>13</v>
      </c>
      <c r="E60" s="1" t="s">
        <v>16</v>
      </c>
      <c r="F60">
        <v>150</v>
      </c>
      <c r="G60">
        <v>2</v>
      </c>
      <c r="H60">
        <f>WEEKDAY(exercicio_demonstração_aula3[[#This Row],[Data_Producao]])</f>
        <v>4</v>
      </c>
      <c r="I60" s="3">
        <v>4</v>
      </c>
      <c r="J60" s="3">
        <f t="shared" si="0"/>
        <v>4</v>
      </c>
      <c r="L60">
        <f>WEEKDAY(exercicio_demonstração_aula3[[#This Row],[Data_Prevista_Entrega]])</f>
        <v>4</v>
      </c>
      <c r="M60" s="3">
        <f>WEEKDAY(exercicio_demonstração_aula3[[#This Row],[Data_Prevista_Entrega]])</f>
        <v>4</v>
      </c>
      <c r="N60" s="3">
        <f t="shared" si="1"/>
        <v>4</v>
      </c>
    </row>
    <row r="61" spans="1:14" x14ac:dyDescent="0.25">
      <c r="A61" s="1" t="s">
        <v>74</v>
      </c>
      <c r="B61" s="2">
        <v>46246</v>
      </c>
      <c r="C61" s="2">
        <v>46250</v>
      </c>
      <c r="D61" s="1" t="s">
        <v>18</v>
      </c>
      <c r="E61" s="1" t="s">
        <v>9</v>
      </c>
      <c r="F61">
        <v>445</v>
      </c>
      <c r="G61">
        <v>14</v>
      </c>
      <c r="H61">
        <f>WEEKDAY(exercicio_demonstração_aula3[[#This Row],[Data_Producao]])</f>
        <v>4</v>
      </c>
      <c r="I61" s="3">
        <v>4</v>
      </c>
      <c r="J61" s="3">
        <f t="shared" si="0"/>
        <v>4</v>
      </c>
      <c r="L61">
        <f>WEEKDAY(exercicio_demonstração_aula3[[#This Row],[Data_Prevista_Entrega]])</f>
        <v>1</v>
      </c>
      <c r="M61" s="3">
        <f>WEEKDAY(exercicio_demonstração_aula3[[#This Row],[Data_Prevista_Entrega]])</f>
        <v>1</v>
      </c>
      <c r="N61" s="3">
        <f t="shared" si="1"/>
        <v>2</v>
      </c>
    </row>
    <row r="62" spans="1:14" x14ac:dyDescent="0.25">
      <c r="A62" s="1" t="s">
        <v>75</v>
      </c>
      <c r="B62" s="2">
        <v>46247</v>
      </c>
      <c r="C62" s="2">
        <v>46252</v>
      </c>
      <c r="D62" s="1" t="s">
        <v>8</v>
      </c>
      <c r="E62" s="1" t="s">
        <v>20</v>
      </c>
      <c r="F62">
        <v>295</v>
      </c>
      <c r="G62">
        <v>1</v>
      </c>
      <c r="H62">
        <f>WEEKDAY(exercicio_demonstração_aula3[[#This Row],[Data_Producao]])</f>
        <v>5</v>
      </c>
      <c r="I62" s="3">
        <v>5</v>
      </c>
      <c r="J62" s="3">
        <f t="shared" si="0"/>
        <v>5</v>
      </c>
      <c r="L62">
        <f>WEEKDAY(exercicio_demonstração_aula3[[#This Row],[Data_Prevista_Entrega]])</f>
        <v>3</v>
      </c>
      <c r="M62" s="3">
        <f>WEEKDAY(exercicio_demonstração_aula3[[#This Row],[Data_Prevista_Entrega]])</f>
        <v>3</v>
      </c>
      <c r="N62" s="3">
        <f t="shared" si="1"/>
        <v>3</v>
      </c>
    </row>
    <row r="63" spans="1:14" x14ac:dyDescent="0.25">
      <c r="A63" s="1" t="s">
        <v>76</v>
      </c>
      <c r="B63" s="2">
        <v>46247</v>
      </c>
      <c r="C63" s="2">
        <v>46251</v>
      </c>
      <c r="D63" s="1" t="s">
        <v>8</v>
      </c>
      <c r="E63" s="1" t="s">
        <v>14</v>
      </c>
      <c r="F63">
        <v>515</v>
      </c>
      <c r="G63">
        <v>8</v>
      </c>
      <c r="H63">
        <f>WEEKDAY(exercicio_demonstração_aula3[[#This Row],[Data_Producao]])</f>
        <v>5</v>
      </c>
      <c r="I63" s="3">
        <v>5</v>
      </c>
      <c r="J63" s="3">
        <f t="shared" si="0"/>
        <v>5</v>
      </c>
      <c r="L63">
        <f>WEEKDAY(exercicio_demonstração_aula3[[#This Row],[Data_Prevista_Entrega]])</f>
        <v>2</v>
      </c>
      <c r="M63" s="3">
        <f>WEEKDAY(exercicio_demonstração_aula3[[#This Row],[Data_Prevista_Entrega]])</f>
        <v>2</v>
      </c>
      <c r="N63" s="3">
        <f t="shared" si="1"/>
        <v>2</v>
      </c>
    </row>
    <row r="64" spans="1:14" x14ac:dyDescent="0.25">
      <c r="A64" s="1" t="s">
        <v>77</v>
      </c>
      <c r="B64" s="2">
        <v>46247</v>
      </c>
      <c r="C64" s="2">
        <v>46253</v>
      </c>
      <c r="D64" s="1" t="s">
        <v>13</v>
      </c>
      <c r="E64" s="1" t="s">
        <v>11</v>
      </c>
      <c r="F64">
        <v>315</v>
      </c>
      <c r="G64">
        <v>5</v>
      </c>
      <c r="H64">
        <f>WEEKDAY(exercicio_demonstração_aula3[[#This Row],[Data_Producao]])</f>
        <v>5</v>
      </c>
      <c r="I64" s="3">
        <v>5</v>
      </c>
      <c r="J64" s="3">
        <f t="shared" si="0"/>
        <v>5</v>
      </c>
      <c r="L64">
        <f>WEEKDAY(exercicio_demonstração_aula3[[#This Row],[Data_Prevista_Entrega]])</f>
        <v>4</v>
      </c>
      <c r="M64" s="3">
        <f>WEEKDAY(exercicio_demonstração_aula3[[#This Row],[Data_Prevista_Entrega]])</f>
        <v>4</v>
      </c>
      <c r="N64" s="3">
        <f t="shared" si="1"/>
        <v>4</v>
      </c>
    </row>
    <row r="65" spans="1:14" x14ac:dyDescent="0.25">
      <c r="A65" s="1" t="s">
        <v>78</v>
      </c>
      <c r="B65" s="2">
        <v>46247</v>
      </c>
      <c r="C65" s="2">
        <v>46254</v>
      </c>
      <c r="D65" s="1" t="s">
        <v>13</v>
      </c>
      <c r="E65" s="1" t="s">
        <v>16</v>
      </c>
      <c r="F65">
        <v>155</v>
      </c>
      <c r="G65">
        <v>3</v>
      </c>
      <c r="H65">
        <f>WEEKDAY(exercicio_demonstração_aula3[[#This Row],[Data_Producao]])</f>
        <v>5</v>
      </c>
      <c r="I65" s="3">
        <v>5</v>
      </c>
      <c r="J65" s="3">
        <f t="shared" si="0"/>
        <v>5</v>
      </c>
      <c r="L65">
        <f>WEEKDAY(exercicio_demonstração_aula3[[#This Row],[Data_Prevista_Entrega]])</f>
        <v>5</v>
      </c>
      <c r="M65" s="3">
        <f>WEEKDAY(exercicio_demonstração_aula3[[#This Row],[Data_Prevista_Entrega]])</f>
        <v>5</v>
      </c>
      <c r="N65" s="3">
        <f t="shared" si="1"/>
        <v>5</v>
      </c>
    </row>
    <row r="66" spans="1:14" x14ac:dyDescent="0.25">
      <c r="A66" s="1" t="s">
        <v>79</v>
      </c>
      <c r="B66" s="2">
        <v>46247</v>
      </c>
      <c r="C66" s="2">
        <v>46251</v>
      </c>
      <c r="D66" s="1" t="s">
        <v>18</v>
      </c>
      <c r="E66" s="1" t="s">
        <v>9</v>
      </c>
      <c r="F66">
        <v>460</v>
      </c>
      <c r="G66">
        <v>16</v>
      </c>
      <c r="H66">
        <f>WEEKDAY(exercicio_demonstração_aula3[[#This Row],[Data_Producao]])</f>
        <v>5</v>
      </c>
      <c r="I66" s="3">
        <v>5</v>
      </c>
      <c r="J66" s="3">
        <f t="shared" si="0"/>
        <v>5</v>
      </c>
      <c r="L66">
        <f>WEEKDAY(exercicio_demonstração_aula3[[#This Row],[Data_Prevista_Entrega]])</f>
        <v>2</v>
      </c>
      <c r="M66" s="3">
        <f>WEEKDAY(exercicio_demonstração_aula3[[#This Row],[Data_Prevista_Entrega]])</f>
        <v>2</v>
      </c>
      <c r="N66" s="3">
        <f t="shared" si="1"/>
        <v>2</v>
      </c>
    </row>
    <row r="67" spans="1:14" x14ac:dyDescent="0.25">
      <c r="A67" s="1" t="s">
        <v>80</v>
      </c>
      <c r="B67" s="2">
        <v>46248</v>
      </c>
      <c r="C67" s="2">
        <v>46253</v>
      </c>
      <c r="D67" s="1" t="s">
        <v>8</v>
      </c>
      <c r="E67" s="1" t="s">
        <v>20</v>
      </c>
      <c r="F67">
        <v>280</v>
      </c>
      <c r="G67">
        <v>2</v>
      </c>
      <c r="H67">
        <f>WEEKDAY(exercicio_demonstração_aula3[[#This Row],[Data_Producao]])</f>
        <v>6</v>
      </c>
      <c r="I67" s="3">
        <v>6</v>
      </c>
      <c r="J67" s="3">
        <f t="shared" ref="J67:J101" si="2">IF(I67=7,I67-1,IF(I67=1,I67+1,I67+0))</f>
        <v>6</v>
      </c>
      <c r="L67">
        <f>WEEKDAY(exercicio_demonstração_aula3[[#This Row],[Data_Prevista_Entrega]])</f>
        <v>4</v>
      </c>
      <c r="M67" s="3">
        <f>WEEKDAY(exercicio_demonstração_aula3[[#This Row],[Data_Prevista_Entrega]])</f>
        <v>4</v>
      </c>
      <c r="N67" s="3">
        <f t="shared" ref="N67:N101" si="3">IF(M67=7,M67-1,IF(M67=1,M67+1,M67+0))</f>
        <v>4</v>
      </c>
    </row>
    <row r="68" spans="1:14" x14ac:dyDescent="0.25">
      <c r="A68" s="1" t="s">
        <v>81</v>
      </c>
      <c r="B68" s="2">
        <v>46248</v>
      </c>
      <c r="C68" s="2">
        <v>46252</v>
      </c>
      <c r="D68" s="1" t="s">
        <v>8</v>
      </c>
      <c r="E68" s="1" t="s">
        <v>14</v>
      </c>
      <c r="F68">
        <v>495</v>
      </c>
      <c r="G68">
        <v>10</v>
      </c>
      <c r="H68">
        <f>WEEKDAY(exercicio_demonstração_aula3[[#This Row],[Data_Producao]])</f>
        <v>6</v>
      </c>
      <c r="I68" s="3">
        <v>6</v>
      </c>
      <c r="J68" s="3">
        <f t="shared" si="2"/>
        <v>6</v>
      </c>
      <c r="L68">
        <f>WEEKDAY(exercicio_demonstração_aula3[[#This Row],[Data_Prevista_Entrega]])</f>
        <v>3</v>
      </c>
      <c r="M68" s="3">
        <f>WEEKDAY(exercicio_demonstração_aula3[[#This Row],[Data_Prevista_Entrega]])</f>
        <v>3</v>
      </c>
      <c r="N68" s="3">
        <f t="shared" si="3"/>
        <v>3</v>
      </c>
    </row>
    <row r="69" spans="1:14" x14ac:dyDescent="0.25">
      <c r="A69" s="1" t="s">
        <v>82</v>
      </c>
      <c r="B69" s="2">
        <v>46248</v>
      </c>
      <c r="C69" s="2">
        <v>46254</v>
      </c>
      <c r="D69" s="1" t="s">
        <v>13</v>
      </c>
      <c r="E69" s="1" t="s">
        <v>11</v>
      </c>
      <c r="F69">
        <v>325</v>
      </c>
      <c r="G69">
        <v>6</v>
      </c>
      <c r="H69">
        <f>WEEKDAY(exercicio_demonstração_aula3[[#This Row],[Data_Producao]])</f>
        <v>6</v>
      </c>
      <c r="I69" s="3">
        <v>6</v>
      </c>
      <c r="J69" s="3">
        <f t="shared" si="2"/>
        <v>6</v>
      </c>
      <c r="L69">
        <f>WEEKDAY(exercicio_demonstração_aula3[[#This Row],[Data_Prevista_Entrega]])</f>
        <v>5</v>
      </c>
      <c r="M69" s="3">
        <f>WEEKDAY(exercicio_demonstração_aula3[[#This Row],[Data_Prevista_Entrega]])</f>
        <v>5</v>
      </c>
      <c r="N69" s="3">
        <f t="shared" si="3"/>
        <v>5</v>
      </c>
    </row>
    <row r="70" spans="1:14" x14ac:dyDescent="0.25">
      <c r="A70" s="1" t="s">
        <v>83</v>
      </c>
      <c r="B70" s="2">
        <v>46248</v>
      </c>
      <c r="C70" s="2">
        <v>46255</v>
      </c>
      <c r="D70" s="1" t="s">
        <v>13</v>
      </c>
      <c r="E70" s="1" t="s">
        <v>16</v>
      </c>
      <c r="F70">
        <v>148</v>
      </c>
      <c r="G70">
        <v>2</v>
      </c>
      <c r="H70">
        <f>WEEKDAY(exercicio_demonstração_aula3[[#This Row],[Data_Producao]])</f>
        <v>6</v>
      </c>
      <c r="I70" s="3">
        <v>6</v>
      </c>
      <c r="J70" s="3">
        <f t="shared" si="2"/>
        <v>6</v>
      </c>
      <c r="L70">
        <f>WEEKDAY(exercicio_demonstração_aula3[[#This Row],[Data_Prevista_Entrega]])</f>
        <v>6</v>
      </c>
      <c r="M70" s="3">
        <f>WEEKDAY(exercicio_demonstração_aula3[[#This Row],[Data_Prevista_Entrega]])</f>
        <v>6</v>
      </c>
      <c r="N70" s="3">
        <f t="shared" si="3"/>
        <v>6</v>
      </c>
    </row>
    <row r="71" spans="1:14" x14ac:dyDescent="0.25">
      <c r="A71" s="1" t="s">
        <v>84</v>
      </c>
      <c r="B71" s="2">
        <v>46248</v>
      </c>
      <c r="C71" s="2">
        <v>46252</v>
      </c>
      <c r="D71" s="1" t="s">
        <v>18</v>
      </c>
      <c r="E71" s="1" t="s">
        <v>9</v>
      </c>
      <c r="F71">
        <v>435</v>
      </c>
      <c r="G71">
        <v>15</v>
      </c>
      <c r="H71">
        <f>WEEKDAY(exercicio_demonstração_aula3[[#This Row],[Data_Producao]])</f>
        <v>6</v>
      </c>
      <c r="I71" s="3">
        <v>6</v>
      </c>
      <c r="J71" s="3">
        <f t="shared" si="2"/>
        <v>6</v>
      </c>
      <c r="L71">
        <f>WEEKDAY(exercicio_demonstração_aula3[[#This Row],[Data_Prevista_Entrega]])</f>
        <v>3</v>
      </c>
      <c r="M71" s="3">
        <f>WEEKDAY(exercicio_demonstração_aula3[[#This Row],[Data_Prevista_Entrega]])</f>
        <v>3</v>
      </c>
      <c r="N71" s="3">
        <f t="shared" si="3"/>
        <v>3</v>
      </c>
    </row>
    <row r="72" spans="1:14" x14ac:dyDescent="0.25">
      <c r="A72" s="1" t="s">
        <v>85</v>
      </c>
      <c r="B72" s="2">
        <v>46249</v>
      </c>
      <c r="C72" s="2">
        <v>46254</v>
      </c>
      <c r="D72" s="1" t="s">
        <v>8</v>
      </c>
      <c r="E72" s="1" t="s">
        <v>20</v>
      </c>
      <c r="F72">
        <v>305</v>
      </c>
      <c r="G72">
        <v>3</v>
      </c>
      <c r="H72">
        <f>WEEKDAY(exercicio_demonstração_aula3[[#This Row],[Data_Producao]])</f>
        <v>7</v>
      </c>
      <c r="I72" s="3">
        <v>7</v>
      </c>
      <c r="J72" s="3">
        <f t="shared" si="2"/>
        <v>6</v>
      </c>
      <c r="L72">
        <f>WEEKDAY(exercicio_demonstração_aula3[[#This Row],[Data_Prevista_Entrega]])</f>
        <v>5</v>
      </c>
      <c r="M72" s="3">
        <f>WEEKDAY(exercicio_demonstração_aula3[[#This Row],[Data_Prevista_Entrega]])</f>
        <v>5</v>
      </c>
      <c r="N72" s="3">
        <f t="shared" si="3"/>
        <v>5</v>
      </c>
    </row>
    <row r="73" spans="1:14" x14ac:dyDescent="0.25">
      <c r="A73" s="1" t="s">
        <v>86</v>
      </c>
      <c r="B73" s="2">
        <v>46249</v>
      </c>
      <c r="C73" s="2">
        <v>46253</v>
      </c>
      <c r="D73" s="1" t="s">
        <v>8</v>
      </c>
      <c r="E73" s="1" t="s">
        <v>14</v>
      </c>
      <c r="F73">
        <v>510</v>
      </c>
      <c r="G73">
        <v>7</v>
      </c>
      <c r="H73">
        <f>WEEKDAY(exercicio_demonstração_aula3[[#This Row],[Data_Producao]])</f>
        <v>7</v>
      </c>
      <c r="I73" s="3">
        <v>7</v>
      </c>
      <c r="J73" s="3">
        <f t="shared" si="2"/>
        <v>6</v>
      </c>
      <c r="L73">
        <f>WEEKDAY(exercicio_demonstração_aula3[[#This Row],[Data_Prevista_Entrega]])</f>
        <v>4</v>
      </c>
      <c r="M73" s="3">
        <f>WEEKDAY(exercicio_demonstração_aula3[[#This Row],[Data_Prevista_Entrega]])</f>
        <v>4</v>
      </c>
      <c r="N73" s="3">
        <f t="shared" si="3"/>
        <v>4</v>
      </c>
    </row>
    <row r="74" spans="1:14" x14ac:dyDescent="0.25">
      <c r="A74" s="1" t="s">
        <v>87</v>
      </c>
      <c r="B74" s="2">
        <v>46249</v>
      </c>
      <c r="C74" s="2">
        <v>46255</v>
      </c>
      <c r="D74" s="1" t="s">
        <v>13</v>
      </c>
      <c r="E74" s="1" t="s">
        <v>11</v>
      </c>
      <c r="F74">
        <v>310</v>
      </c>
      <c r="G74">
        <v>4</v>
      </c>
      <c r="H74">
        <f>WEEKDAY(exercicio_demonstração_aula3[[#This Row],[Data_Producao]])</f>
        <v>7</v>
      </c>
      <c r="I74" s="3">
        <v>7</v>
      </c>
      <c r="J74" s="3">
        <f t="shared" si="2"/>
        <v>6</v>
      </c>
      <c r="L74">
        <f>WEEKDAY(exercicio_demonstração_aula3[[#This Row],[Data_Prevista_Entrega]])</f>
        <v>6</v>
      </c>
      <c r="M74" s="3">
        <f>WEEKDAY(exercicio_demonstração_aula3[[#This Row],[Data_Prevista_Entrega]])</f>
        <v>6</v>
      </c>
      <c r="N74" s="3">
        <f t="shared" si="3"/>
        <v>6</v>
      </c>
    </row>
    <row r="75" spans="1:14" x14ac:dyDescent="0.25">
      <c r="A75" s="1" t="s">
        <v>88</v>
      </c>
      <c r="B75" s="2">
        <v>46249</v>
      </c>
      <c r="C75" s="2">
        <v>46256</v>
      </c>
      <c r="D75" s="1" t="s">
        <v>13</v>
      </c>
      <c r="E75" s="1" t="s">
        <v>16</v>
      </c>
      <c r="F75">
        <v>152</v>
      </c>
      <c r="G75">
        <v>3</v>
      </c>
      <c r="H75">
        <f>WEEKDAY(exercicio_demonstração_aula3[[#This Row],[Data_Producao]])</f>
        <v>7</v>
      </c>
      <c r="I75" s="3">
        <v>7</v>
      </c>
      <c r="J75" s="3">
        <f t="shared" si="2"/>
        <v>6</v>
      </c>
      <c r="L75">
        <f>WEEKDAY(exercicio_demonstração_aula3[[#This Row],[Data_Prevista_Entrega]])</f>
        <v>7</v>
      </c>
      <c r="M75" s="3">
        <f>WEEKDAY(exercicio_demonstração_aula3[[#This Row],[Data_Prevista_Entrega]])</f>
        <v>7</v>
      </c>
      <c r="N75" s="3">
        <f t="shared" si="3"/>
        <v>6</v>
      </c>
    </row>
    <row r="76" spans="1:14" x14ac:dyDescent="0.25">
      <c r="A76" s="1" t="s">
        <v>89</v>
      </c>
      <c r="B76" s="2">
        <v>46249</v>
      </c>
      <c r="C76" s="2">
        <v>46253</v>
      </c>
      <c r="D76" s="1" t="s">
        <v>18</v>
      </c>
      <c r="E76" s="1" t="s">
        <v>9</v>
      </c>
      <c r="F76">
        <v>450</v>
      </c>
      <c r="G76">
        <v>17</v>
      </c>
      <c r="H76">
        <f>WEEKDAY(exercicio_demonstração_aula3[[#This Row],[Data_Producao]])</f>
        <v>7</v>
      </c>
      <c r="I76" s="3">
        <v>7</v>
      </c>
      <c r="J76" s="3">
        <f t="shared" si="2"/>
        <v>6</v>
      </c>
      <c r="L76">
        <f>WEEKDAY(exercicio_demonstração_aula3[[#This Row],[Data_Prevista_Entrega]])</f>
        <v>4</v>
      </c>
      <c r="M76" s="3">
        <f>WEEKDAY(exercicio_demonstração_aula3[[#This Row],[Data_Prevista_Entrega]])</f>
        <v>4</v>
      </c>
      <c r="N76" s="3">
        <f t="shared" si="3"/>
        <v>4</v>
      </c>
    </row>
    <row r="77" spans="1:14" x14ac:dyDescent="0.25">
      <c r="A77" s="1" t="s">
        <v>90</v>
      </c>
      <c r="B77" s="2">
        <v>46250</v>
      </c>
      <c r="C77" s="2">
        <v>46255</v>
      </c>
      <c r="D77" s="1" t="s">
        <v>8</v>
      </c>
      <c r="E77" s="1" t="s">
        <v>20</v>
      </c>
      <c r="F77">
        <v>285</v>
      </c>
      <c r="G77">
        <v>1</v>
      </c>
      <c r="H77">
        <f>WEEKDAY(exercicio_demonstração_aula3[[#This Row],[Data_Producao]])</f>
        <v>1</v>
      </c>
      <c r="I77" s="3">
        <v>1</v>
      </c>
      <c r="J77" s="3">
        <f t="shared" si="2"/>
        <v>2</v>
      </c>
      <c r="L77">
        <f>WEEKDAY(exercicio_demonstração_aula3[[#This Row],[Data_Prevista_Entrega]])</f>
        <v>6</v>
      </c>
      <c r="M77" s="3">
        <f>WEEKDAY(exercicio_demonstração_aula3[[#This Row],[Data_Prevista_Entrega]])</f>
        <v>6</v>
      </c>
      <c r="N77" s="3">
        <f t="shared" si="3"/>
        <v>6</v>
      </c>
    </row>
    <row r="78" spans="1:14" x14ac:dyDescent="0.25">
      <c r="A78" s="1" t="s">
        <v>91</v>
      </c>
      <c r="B78" s="2">
        <v>46250</v>
      </c>
      <c r="C78" s="2">
        <v>46254</v>
      </c>
      <c r="D78" s="1" t="s">
        <v>8</v>
      </c>
      <c r="E78" s="1" t="s">
        <v>14</v>
      </c>
      <c r="F78">
        <v>500</v>
      </c>
      <c r="G78">
        <v>9</v>
      </c>
      <c r="H78">
        <f>WEEKDAY(exercicio_demonstração_aula3[[#This Row],[Data_Producao]])</f>
        <v>1</v>
      </c>
      <c r="I78" s="3">
        <v>1</v>
      </c>
      <c r="J78" s="3">
        <f t="shared" si="2"/>
        <v>2</v>
      </c>
      <c r="L78">
        <f>WEEKDAY(exercicio_demonstração_aula3[[#This Row],[Data_Prevista_Entrega]])</f>
        <v>5</v>
      </c>
      <c r="M78" s="3">
        <f>WEEKDAY(exercicio_demonstração_aula3[[#This Row],[Data_Prevista_Entrega]])</f>
        <v>5</v>
      </c>
      <c r="N78" s="3">
        <f t="shared" si="3"/>
        <v>5</v>
      </c>
    </row>
    <row r="79" spans="1:14" x14ac:dyDescent="0.25">
      <c r="A79" s="1" t="s">
        <v>92</v>
      </c>
      <c r="B79" s="2">
        <v>46250</v>
      </c>
      <c r="C79" s="2">
        <v>46256</v>
      </c>
      <c r="D79" s="1" t="s">
        <v>13</v>
      </c>
      <c r="E79" s="1" t="s">
        <v>11</v>
      </c>
      <c r="F79">
        <v>335</v>
      </c>
      <c r="G79">
        <v>5</v>
      </c>
      <c r="H79">
        <f>WEEKDAY(exercicio_demonstração_aula3[[#This Row],[Data_Producao]])</f>
        <v>1</v>
      </c>
      <c r="I79" s="3">
        <v>1</v>
      </c>
      <c r="J79" s="3">
        <f t="shared" si="2"/>
        <v>2</v>
      </c>
      <c r="L79">
        <f>WEEKDAY(exercicio_demonstração_aula3[[#This Row],[Data_Prevista_Entrega]])</f>
        <v>7</v>
      </c>
      <c r="M79" s="3">
        <f>WEEKDAY(exercicio_demonstração_aula3[[#This Row],[Data_Prevista_Entrega]])</f>
        <v>7</v>
      </c>
      <c r="N79" s="3">
        <f t="shared" si="3"/>
        <v>6</v>
      </c>
    </row>
    <row r="80" spans="1:14" x14ac:dyDescent="0.25">
      <c r="A80" s="1" t="s">
        <v>93</v>
      </c>
      <c r="B80" s="2">
        <v>46250</v>
      </c>
      <c r="C80" s="2">
        <v>46257</v>
      </c>
      <c r="D80" s="1" t="s">
        <v>13</v>
      </c>
      <c r="E80" s="1" t="s">
        <v>16</v>
      </c>
      <c r="F80">
        <v>158</v>
      </c>
      <c r="G80">
        <v>4</v>
      </c>
      <c r="H80">
        <f>WEEKDAY(exercicio_demonstração_aula3[[#This Row],[Data_Producao]])</f>
        <v>1</v>
      </c>
      <c r="I80" s="3">
        <v>1</v>
      </c>
      <c r="J80" s="3">
        <f t="shared" si="2"/>
        <v>2</v>
      </c>
      <c r="L80">
        <f>WEEKDAY(exercicio_demonstração_aula3[[#This Row],[Data_Prevista_Entrega]])</f>
        <v>1</v>
      </c>
      <c r="M80" s="3">
        <f>WEEKDAY(exercicio_demonstração_aula3[[#This Row],[Data_Prevista_Entrega]])</f>
        <v>1</v>
      </c>
      <c r="N80" s="3">
        <f t="shared" si="3"/>
        <v>2</v>
      </c>
    </row>
    <row r="81" spans="1:14" x14ac:dyDescent="0.25">
      <c r="A81" s="1" t="s">
        <v>94</v>
      </c>
      <c r="B81" s="2">
        <v>46250</v>
      </c>
      <c r="C81" s="2">
        <v>46254</v>
      </c>
      <c r="D81" s="1" t="s">
        <v>18</v>
      </c>
      <c r="E81" s="1" t="s">
        <v>9</v>
      </c>
      <c r="F81">
        <v>440</v>
      </c>
      <c r="G81">
        <v>13</v>
      </c>
      <c r="H81">
        <f>WEEKDAY(exercicio_demonstração_aula3[[#This Row],[Data_Producao]])</f>
        <v>1</v>
      </c>
      <c r="I81" s="3">
        <v>1</v>
      </c>
      <c r="J81" s="3">
        <f t="shared" si="2"/>
        <v>2</v>
      </c>
      <c r="L81">
        <f>WEEKDAY(exercicio_demonstração_aula3[[#This Row],[Data_Prevista_Entrega]])</f>
        <v>5</v>
      </c>
      <c r="M81" s="3">
        <f>WEEKDAY(exercicio_demonstração_aula3[[#This Row],[Data_Prevista_Entrega]])</f>
        <v>5</v>
      </c>
      <c r="N81" s="3">
        <f t="shared" si="3"/>
        <v>5</v>
      </c>
    </row>
    <row r="82" spans="1:14" x14ac:dyDescent="0.25">
      <c r="A82" s="1" t="s">
        <v>95</v>
      </c>
      <c r="B82" s="2">
        <v>46251</v>
      </c>
      <c r="C82" s="2">
        <v>46256</v>
      </c>
      <c r="D82" s="1" t="s">
        <v>8</v>
      </c>
      <c r="E82" s="1" t="s">
        <v>20</v>
      </c>
      <c r="F82">
        <v>290</v>
      </c>
      <c r="G82">
        <v>2</v>
      </c>
      <c r="H82">
        <f>WEEKDAY(exercicio_demonstração_aula3[[#This Row],[Data_Producao]])</f>
        <v>2</v>
      </c>
      <c r="I82" s="3">
        <v>2</v>
      </c>
      <c r="J82" s="3">
        <f t="shared" si="2"/>
        <v>2</v>
      </c>
      <c r="L82">
        <f>WEEKDAY(exercicio_demonstração_aula3[[#This Row],[Data_Prevista_Entrega]])</f>
        <v>7</v>
      </c>
      <c r="M82" s="3">
        <f>WEEKDAY(exercicio_demonstração_aula3[[#This Row],[Data_Prevista_Entrega]])</f>
        <v>7</v>
      </c>
      <c r="N82" s="3">
        <f t="shared" si="3"/>
        <v>6</v>
      </c>
    </row>
    <row r="83" spans="1:14" x14ac:dyDescent="0.25">
      <c r="A83" s="1" t="s">
        <v>96</v>
      </c>
      <c r="B83" s="2">
        <v>46251</v>
      </c>
      <c r="C83" s="2">
        <v>46255</v>
      </c>
      <c r="D83" s="1" t="s">
        <v>8</v>
      </c>
      <c r="E83" s="1" t="s">
        <v>14</v>
      </c>
      <c r="F83">
        <v>520</v>
      </c>
      <c r="G83">
        <v>11</v>
      </c>
      <c r="H83">
        <f>WEEKDAY(exercicio_demonstração_aula3[[#This Row],[Data_Producao]])</f>
        <v>2</v>
      </c>
      <c r="I83" s="3">
        <v>2</v>
      </c>
      <c r="J83" s="3">
        <f t="shared" si="2"/>
        <v>2</v>
      </c>
      <c r="L83">
        <f>WEEKDAY(exercicio_demonstração_aula3[[#This Row],[Data_Prevista_Entrega]])</f>
        <v>6</v>
      </c>
      <c r="M83" s="3">
        <f>WEEKDAY(exercicio_demonstração_aula3[[#This Row],[Data_Prevista_Entrega]])</f>
        <v>6</v>
      </c>
      <c r="N83" s="3">
        <f t="shared" si="3"/>
        <v>6</v>
      </c>
    </row>
    <row r="84" spans="1:14" x14ac:dyDescent="0.25">
      <c r="A84" s="1" t="s">
        <v>97</v>
      </c>
      <c r="B84" s="2">
        <v>46251</v>
      </c>
      <c r="C84" s="2">
        <v>46257</v>
      </c>
      <c r="D84" s="1" t="s">
        <v>13</v>
      </c>
      <c r="E84" s="1" t="s">
        <v>11</v>
      </c>
      <c r="F84">
        <v>320</v>
      </c>
      <c r="G84">
        <v>6</v>
      </c>
      <c r="H84">
        <f>WEEKDAY(exercicio_demonstração_aula3[[#This Row],[Data_Producao]])</f>
        <v>2</v>
      </c>
      <c r="I84" s="3">
        <v>2</v>
      </c>
      <c r="J84" s="3">
        <f t="shared" si="2"/>
        <v>2</v>
      </c>
      <c r="L84">
        <f>WEEKDAY(exercicio_demonstração_aula3[[#This Row],[Data_Prevista_Entrega]])</f>
        <v>1</v>
      </c>
      <c r="M84" s="3">
        <f>WEEKDAY(exercicio_demonstração_aula3[[#This Row],[Data_Prevista_Entrega]])</f>
        <v>1</v>
      </c>
      <c r="N84" s="3">
        <f t="shared" si="3"/>
        <v>2</v>
      </c>
    </row>
    <row r="85" spans="1:14" x14ac:dyDescent="0.25">
      <c r="A85" s="1" t="s">
        <v>98</v>
      </c>
      <c r="B85" s="2">
        <v>46251</v>
      </c>
      <c r="C85" s="2">
        <v>46258</v>
      </c>
      <c r="D85" s="1" t="s">
        <v>13</v>
      </c>
      <c r="E85" s="1" t="s">
        <v>16</v>
      </c>
      <c r="F85">
        <v>145</v>
      </c>
      <c r="G85">
        <v>2</v>
      </c>
      <c r="H85">
        <f>WEEKDAY(exercicio_demonstração_aula3[[#This Row],[Data_Producao]])</f>
        <v>2</v>
      </c>
      <c r="I85" s="3">
        <v>2</v>
      </c>
      <c r="J85" s="3">
        <f t="shared" si="2"/>
        <v>2</v>
      </c>
      <c r="L85">
        <f>WEEKDAY(exercicio_demonstração_aula3[[#This Row],[Data_Prevista_Entrega]])</f>
        <v>2</v>
      </c>
      <c r="M85" s="3">
        <f>WEEKDAY(exercicio_demonstração_aula3[[#This Row],[Data_Prevista_Entrega]])</f>
        <v>2</v>
      </c>
      <c r="N85" s="3">
        <f t="shared" si="3"/>
        <v>2</v>
      </c>
    </row>
    <row r="86" spans="1:14" x14ac:dyDescent="0.25">
      <c r="A86" s="1" t="s">
        <v>99</v>
      </c>
      <c r="B86" s="2">
        <v>46251</v>
      </c>
      <c r="C86" s="2">
        <v>46255</v>
      </c>
      <c r="D86" s="1" t="s">
        <v>18</v>
      </c>
      <c r="E86" s="1" t="s">
        <v>9</v>
      </c>
      <c r="F86">
        <v>455</v>
      </c>
      <c r="G86">
        <v>16</v>
      </c>
      <c r="H86">
        <f>WEEKDAY(exercicio_demonstração_aula3[[#This Row],[Data_Producao]])</f>
        <v>2</v>
      </c>
      <c r="I86" s="3">
        <v>2</v>
      </c>
      <c r="J86" s="3">
        <f t="shared" si="2"/>
        <v>2</v>
      </c>
      <c r="L86">
        <f>WEEKDAY(exercicio_demonstração_aula3[[#This Row],[Data_Prevista_Entrega]])</f>
        <v>6</v>
      </c>
      <c r="M86" s="3">
        <f>WEEKDAY(exercicio_demonstração_aula3[[#This Row],[Data_Prevista_Entrega]])</f>
        <v>6</v>
      </c>
      <c r="N86" s="3">
        <f t="shared" si="3"/>
        <v>6</v>
      </c>
    </row>
    <row r="87" spans="1:14" x14ac:dyDescent="0.25">
      <c r="A87" s="1" t="s">
        <v>100</v>
      </c>
      <c r="B87" s="2">
        <v>46252</v>
      </c>
      <c r="C87" s="2">
        <v>46257</v>
      </c>
      <c r="D87" s="1" t="s">
        <v>8</v>
      </c>
      <c r="E87" s="1" t="s">
        <v>20</v>
      </c>
      <c r="F87">
        <v>300</v>
      </c>
      <c r="G87">
        <v>3</v>
      </c>
      <c r="H87">
        <f>WEEKDAY(exercicio_demonstração_aula3[[#This Row],[Data_Producao]])</f>
        <v>3</v>
      </c>
      <c r="I87" s="3">
        <v>3</v>
      </c>
      <c r="J87" s="3">
        <f t="shared" si="2"/>
        <v>3</v>
      </c>
      <c r="L87">
        <f>WEEKDAY(exercicio_demonstração_aula3[[#This Row],[Data_Prevista_Entrega]])</f>
        <v>1</v>
      </c>
      <c r="M87" s="3">
        <f>WEEKDAY(exercicio_demonstração_aula3[[#This Row],[Data_Prevista_Entrega]])</f>
        <v>1</v>
      </c>
      <c r="N87" s="3">
        <f t="shared" si="3"/>
        <v>2</v>
      </c>
    </row>
    <row r="88" spans="1:14" x14ac:dyDescent="0.25">
      <c r="A88" s="1" t="s">
        <v>101</v>
      </c>
      <c r="B88" s="2">
        <v>46252</v>
      </c>
      <c r="C88" s="2">
        <v>46256</v>
      </c>
      <c r="D88" s="1" t="s">
        <v>8</v>
      </c>
      <c r="E88" s="1" t="s">
        <v>14</v>
      </c>
      <c r="F88">
        <v>490</v>
      </c>
      <c r="G88">
        <v>8</v>
      </c>
      <c r="H88">
        <f>WEEKDAY(exercicio_demonstração_aula3[[#This Row],[Data_Producao]])</f>
        <v>3</v>
      </c>
      <c r="I88" s="3">
        <v>3</v>
      </c>
      <c r="J88" s="3">
        <f t="shared" si="2"/>
        <v>3</v>
      </c>
      <c r="L88">
        <f>WEEKDAY(exercicio_demonstração_aula3[[#This Row],[Data_Prevista_Entrega]])</f>
        <v>7</v>
      </c>
      <c r="M88" s="3">
        <f>WEEKDAY(exercicio_demonstração_aula3[[#This Row],[Data_Prevista_Entrega]])</f>
        <v>7</v>
      </c>
      <c r="N88" s="3">
        <f t="shared" si="3"/>
        <v>6</v>
      </c>
    </row>
    <row r="89" spans="1:14" x14ac:dyDescent="0.25">
      <c r="A89" s="1" t="s">
        <v>102</v>
      </c>
      <c r="B89" s="2">
        <v>46252</v>
      </c>
      <c r="C89" s="2">
        <v>46258</v>
      </c>
      <c r="D89" s="1" t="s">
        <v>13</v>
      </c>
      <c r="E89" s="1" t="s">
        <v>11</v>
      </c>
      <c r="F89">
        <v>315</v>
      </c>
      <c r="G89">
        <v>4</v>
      </c>
      <c r="H89">
        <f>WEEKDAY(exercicio_demonstração_aula3[[#This Row],[Data_Producao]])</f>
        <v>3</v>
      </c>
      <c r="I89" s="3">
        <v>3</v>
      </c>
      <c r="J89" s="3">
        <f t="shared" si="2"/>
        <v>3</v>
      </c>
      <c r="L89">
        <f>WEEKDAY(exercicio_demonstração_aula3[[#This Row],[Data_Prevista_Entrega]])</f>
        <v>2</v>
      </c>
      <c r="M89" s="3">
        <f>WEEKDAY(exercicio_demonstração_aula3[[#This Row],[Data_Prevista_Entrega]])</f>
        <v>2</v>
      </c>
      <c r="N89" s="3">
        <f t="shared" si="3"/>
        <v>2</v>
      </c>
    </row>
    <row r="90" spans="1:14" x14ac:dyDescent="0.25">
      <c r="A90" s="1" t="s">
        <v>103</v>
      </c>
      <c r="B90" s="2">
        <v>46252</v>
      </c>
      <c r="C90" s="2">
        <v>46259</v>
      </c>
      <c r="D90" s="1" t="s">
        <v>13</v>
      </c>
      <c r="E90" s="1" t="s">
        <v>16</v>
      </c>
      <c r="F90">
        <v>160</v>
      </c>
      <c r="G90">
        <v>5</v>
      </c>
      <c r="H90">
        <f>WEEKDAY(exercicio_demonstração_aula3[[#This Row],[Data_Producao]])</f>
        <v>3</v>
      </c>
      <c r="I90" s="3">
        <v>3</v>
      </c>
      <c r="J90" s="3">
        <f t="shared" si="2"/>
        <v>3</v>
      </c>
      <c r="L90">
        <f>WEEKDAY(exercicio_demonstração_aula3[[#This Row],[Data_Prevista_Entrega]])</f>
        <v>3</v>
      </c>
      <c r="M90" s="3">
        <f>WEEKDAY(exercicio_demonstração_aula3[[#This Row],[Data_Prevista_Entrega]])</f>
        <v>3</v>
      </c>
      <c r="N90" s="3">
        <f t="shared" si="3"/>
        <v>3</v>
      </c>
    </row>
    <row r="91" spans="1:14" x14ac:dyDescent="0.25">
      <c r="A91" s="1" t="s">
        <v>104</v>
      </c>
      <c r="B91" s="2">
        <v>46252</v>
      </c>
      <c r="C91" s="2">
        <v>46256</v>
      </c>
      <c r="D91" s="1" t="s">
        <v>18</v>
      </c>
      <c r="E91" s="1" t="s">
        <v>9</v>
      </c>
      <c r="F91">
        <v>430</v>
      </c>
      <c r="G91">
        <v>14</v>
      </c>
      <c r="H91">
        <f>WEEKDAY(exercicio_demonstração_aula3[[#This Row],[Data_Producao]])</f>
        <v>3</v>
      </c>
      <c r="I91" s="3">
        <v>3</v>
      </c>
      <c r="J91" s="3">
        <f t="shared" si="2"/>
        <v>3</v>
      </c>
      <c r="L91">
        <f>WEEKDAY(exercicio_demonstração_aula3[[#This Row],[Data_Prevista_Entrega]])</f>
        <v>7</v>
      </c>
      <c r="M91" s="3">
        <f>WEEKDAY(exercicio_demonstração_aula3[[#This Row],[Data_Prevista_Entrega]])</f>
        <v>7</v>
      </c>
      <c r="N91" s="3">
        <f t="shared" si="3"/>
        <v>6</v>
      </c>
    </row>
    <row r="92" spans="1:14" x14ac:dyDescent="0.25">
      <c r="A92" s="1" t="s">
        <v>105</v>
      </c>
      <c r="B92" s="2">
        <v>46253</v>
      </c>
      <c r="C92" s="2">
        <v>46258</v>
      </c>
      <c r="D92" s="1" t="s">
        <v>8</v>
      </c>
      <c r="E92" s="1" t="s">
        <v>20</v>
      </c>
      <c r="F92">
        <v>295</v>
      </c>
      <c r="G92">
        <v>2</v>
      </c>
      <c r="H92">
        <f>WEEKDAY(exercicio_demonstração_aula3[[#This Row],[Data_Producao]])</f>
        <v>4</v>
      </c>
      <c r="I92" s="3">
        <v>4</v>
      </c>
      <c r="J92" s="3">
        <f t="shared" si="2"/>
        <v>4</v>
      </c>
      <c r="L92">
        <f>WEEKDAY(exercicio_demonstração_aula3[[#This Row],[Data_Prevista_Entrega]])</f>
        <v>2</v>
      </c>
      <c r="M92" s="3">
        <f>WEEKDAY(exercicio_demonstração_aula3[[#This Row],[Data_Prevista_Entrega]])</f>
        <v>2</v>
      </c>
      <c r="N92" s="3">
        <f t="shared" si="3"/>
        <v>2</v>
      </c>
    </row>
    <row r="93" spans="1:14" x14ac:dyDescent="0.25">
      <c r="A93" s="1" t="s">
        <v>106</v>
      </c>
      <c r="B93" s="2">
        <v>46253</v>
      </c>
      <c r="C93" s="2">
        <v>46257</v>
      </c>
      <c r="D93" s="1" t="s">
        <v>8</v>
      </c>
      <c r="E93" s="1" t="s">
        <v>14</v>
      </c>
      <c r="F93">
        <v>505</v>
      </c>
      <c r="G93">
        <v>10</v>
      </c>
      <c r="H93">
        <f>WEEKDAY(exercicio_demonstração_aula3[[#This Row],[Data_Producao]])</f>
        <v>4</v>
      </c>
      <c r="I93" s="3">
        <v>4</v>
      </c>
      <c r="J93" s="3">
        <f t="shared" si="2"/>
        <v>4</v>
      </c>
      <c r="L93">
        <f>WEEKDAY(exercicio_demonstração_aula3[[#This Row],[Data_Prevista_Entrega]])</f>
        <v>1</v>
      </c>
      <c r="M93" s="3">
        <f>WEEKDAY(exercicio_demonstração_aula3[[#This Row],[Data_Prevista_Entrega]])</f>
        <v>1</v>
      </c>
      <c r="N93" s="3">
        <f t="shared" si="3"/>
        <v>2</v>
      </c>
    </row>
    <row r="94" spans="1:14" x14ac:dyDescent="0.25">
      <c r="A94" s="1" t="s">
        <v>107</v>
      </c>
      <c r="B94" s="2">
        <v>46253</v>
      </c>
      <c r="C94" s="2">
        <v>46259</v>
      </c>
      <c r="D94" s="1" t="s">
        <v>13</v>
      </c>
      <c r="E94" s="1" t="s">
        <v>11</v>
      </c>
      <c r="F94">
        <v>330</v>
      </c>
      <c r="G94">
        <v>5</v>
      </c>
      <c r="H94">
        <f>WEEKDAY(exercicio_demonstração_aula3[[#This Row],[Data_Producao]])</f>
        <v>4</v>
      </c>
      <c r="I94" s="3">
        <v>4</v>
      </c>
      <c r="J94" s="3">
        <f t="shared" si="2"/>
        <v>4</v>
      </c>
      <c r="L94">
        <f>WEEKDAY(exercicio_demonstração_aula3[[#This Row],[Data_Prevista_Entrega]])</f>
        <v>3</v>
      </c>
      <c r="M94" s="3">
        <f>WEEKDAY(exercicio_demonstração_aula3[[#This Row],[Data_Prevista_Entrega]])</f>
        <v>3</v>
      </c>
      <c r="N94" s="3">
        <f t="shared" si="3"/>
        <v>3</v>
      </c>
    </row>
    <row r="95" spans="1:14" x14ac:dyDescent="0.25">
      <c r="A95" s="1" t="s">
        <v>108</v>
      </c>
      <c r="B95" s="2">
        <v>46253</v>
      </c>
      <c r="C95" s="2">
        <v>46260</v>
      </c>
      <c r="D95" s="1" t="s">
        <v>13</v>
      </c>
      <c r="E95" s="1" t="s">
        <v>16</v>
      </c>
      <c r="F95">
        <v>150</v>
      </c>
      <c r="G95">
        <v>3</v>
      </c>
      <c r="H95">
        <f>WEEKDAY(exercicio_demonstração_aula3[[#This Row],[Data_Producao]])</f>
        <v>4</v>
      </c>
      <c r="I95" s="3">
        <v>4</v>
      </c>
      <c r="J95" s="3">
        <f t="shared" si="2"/>
        <v>4</v>
      </c>
      <c r="L95">
        <f>WEEKDAY(exercicio_demonstração_aula3[[#This Row],[Data_Prevista_Entrega]])</f>
        <v>4</v>
      </c>
      <c r="M95" s="3">
        <f>WEEKDAY(exercicio_demonstração_aula3[[#This Row],[Data_Prevista_Entrega]])</f>
        <v>4</v>
      </c>
      <c r="N95" s="3">
        <f t="shared" si="3"/>
        <v>4</v>
      </c>
    </row>
    <row r="96" spans="1:14" x14ac:dyDescent="0.25">
      <c r="A96" s="1" t="s">
        <v>109</v>
      </c>
      <c r="B96" s="2">
        <v>46253</v>
      </c>
      <c r="C96" s="2">
        <v>46257</v>
      </c>
      <c r="D96" s="1" t="s">
        <v>18</v>
      </c>
      <c r="E96" s="1" t="s">
        <v>9</v>
      </c>
      <c r="F96">
        <v>445</v>
      </c>
      <c r="G96">
        <v>15</v>
      </c>
      <c r="H96">
        <f>WEEKDAY(exercicio_demonstração_aula3[[#This Row],[Data_Producao]])</f>
        <v>4</v>
      </c>
      <c r="I96" s="3">
        <v>4</v>
      </c>
      <c r="J96" s="3">
        <f t="shared" si="2"/>
        <v>4</v>
      </c>
      <c r="L96">
        <f>WEEKDAY(exercicio_demonstração_aula3[[#This Row],[Data_Prevista_Entrega]])</f>
        <v>1</v>
      </c>
      <c r="M96" s="3">
        <f>WEEKDAY(exercicio_demonstração_aula3[[#This Row],[Data_Prevista_Entrega]])</f>
        <v>1</v>
      </c>
      <c r="N96" s="3">
        <f t="shared" si="3"/>
        <v>2</v>
      </c>
    </row>
    <row r="97" spans="1:14" x14ac:dyDescent="0.25">
      <c r="A97" s="1" t="s">
        <v>110</v>
      </c>
      <c r="B97" s="2">
        <v>46254</v>
      </c>
      <c r="C97" s="2">
        <v>46259</v>
      </c>
      <c r="D97" s="1" t="s">
        <v>8</v>
      </c>
      <c r="E97" s="1" t="s">
        <v>20</v>
      </c>
      <c r="F97">
        <v>280</v>
      </c>
      <c r="G97">
        <v>1</v>
      </c>
      <c r="H97">
        <f>WEEKDAY(exercicio_demonstração_aula3[[#This Row],[Data_Producao]])</f>
        <v>5</v>
      </c>
      <c r="I97" s="3">
        <v>5</v>
      </c>
      <c r="J97" s="3">
        <f t="shared" si="2"/>
        <v>5</v>
      </c>
      <c r="L97">
        <f>WEEKDAY(exercicio_demonstração_aula3[[#This Row],[Data_Prevista_Entrega]])</f>
        <v>3</v>
      </c>
      <c r="M97" s="3">
        <f>WEEKDAY(exercicio_demonstração_aula3[[#This Row],[Data_Prevista_Entrega]])</f>
        <v>3</v>
      </c>
      <c r="N97" s="3">
        <f t="shared" si="3"/>
        <v>3</v>
      </c>
    </row>
    <row r="98" spans="1:14" x14ac:dyDescent="0.25">
      <c r="A98" s="1" t="s">
        <v>111</v>
      </c>
      <c r="B98" s="2">
        <v>46254</v>
      </c>
      <c r="C98" s="2">
        <v>46258</v>
      </c>
      <c r="D98" s="1" t="s">
        <v>8</v>
      </c>
      <c r="E98" s="1" t="s">
        <v>14</v>
      </c>
      <c r="F98">
        <v>515</v>
      </c>
      <c r="G98">
        <v>9</v>
      </c>
      <c r="H98">
        <f>WEEKDAY(exercicio_demonstração_aula3[[#This Row],[Data_Producao]])</f>
        <v>5</v>
      </c>
      <c r="I98" s="3">
        <v>5</v>
      </c>
      <c r="J98" s="3">
        <f t="shared" si="2"/>
        <v>5</v>
      </c>
      <c r="L98">
        <f>WEEKDAY(exercicio_demonstração_aula3[[#This Row],[Data_Prevista_Entrega]])</f>
        <v>2</v>
      </c>
      <c r="M98" s="3">
        <f>WEEKDAY(exercicio_demonstração_aula3[[#This Row],[Data_Prevista_Entrega]])</f>
        <v>2</v>
      </c>
      <c r="N98" s="3">
        <f t="shared" si="3"/>
        <v>2</v>
      </c>
    </row>
    <row r="99" spans="1:14" x14ac:dyDescent="0.25">
      <c r="A99" s="1" t="s">
        <v>112</v>
      </c>
      <c r="B99" s="2">
        <v>46254</v>
      </c>
      <c r="C99" s="2">
        <v>46260</v>
      </c>
      <c r="D99" s="1" t="s">
        <v>13</v>
      </c>
      <c r="E99" s="1" t="s">
        <v>11</v>
      </c>
      <c r="F99">
        <v>310</v>
      </c>
      <c r="G99">
        <v>6</v>
      </c>
      <c r="H99">
        <f>WEEKDAY(exercicio_demonstração_aula3[[#This Row],[Data_Producao]])</f>
        <v>5</v>
      </c>
      <c r="I99" s="3">
        <v>5</v>
      </c>
      <c r="J99" s="3">
        <f t="shared" si="2"/>
        <v>5</v>
      </c>
      <c r="L99">
        <f>WEEKDAY(exercicio_demonstração_aula3[[#This Row],[Data_Prevista_Entrega]])</f>
        <v>4</v>
      </c>
      <c r="M99" s="3">
        <f>WEEKDAY(exercicio_demonstração_aula3[[#This Row],[Data_Prevista_Entrega]])</f>
        <v>4</v>
      </c>
      <c r="N99" s="3">
        <f t="shared" si="3"/>
        <v>4</v>
      </c>
    </row>
    <row r="100" spans="1:14" x14ac:dyDescent="0.25">
      <c r="A100" s="1" t="s">
        <v>113</v>
      </c>
      <c r="B100" s="2">
        <v>46254</v>
      </c>
      <c r="C100" s="2">
        <v>46261</v>
      </c>
      <c r="D100" s="1" t="s">
        <v>13</v>
      </c>
      <c r="E100" s="1" t="s">
        <v>16</v>
      </c>
      <c r="F100">
        <v>155</v>
      </c>
      <c r="G100">
        <v>2</v>
      </c>
      <c r="H100">
        <f>WEEKDAY(exercicio_demonstração_aula3[[#This Row],[Data_Producao]])</f>
        <v>5</v>
      </c>
      <c r="I100" s="3">
        <v>5</v>
      </c>
      <c r="J100" s="3">
        <f t="shared" si="2"/>
        <v>5</v>
      </c>
      <c r="L100">
        <f>WEEKDAY(exercicio_demonstração_aula3[[#This Row],[Data_Prevista_Entrega]])</f>
        <v>5</v>
      </c>
      <c r="M100" s="3">
        <f>WEEKDAY(exercicio_demonstração_aula3[[#This Row],[Data_Prevista_Entrega]])</f>
        <v>5</v>
      </c>
      <c r="N100" s="3">
        <f t="shared" si="3"/>
        <v>5</v>
      </c>
    </row>
    <row r="101" spans="1:14" x14ac:dyDescent="0.25">
      <c r="A101" s="1" t="s">
        <v>114</v>
      </c>
      <c r="B101" s="2">
        <v>46254</v>
      </c>
      <c r="C101" s="2">
        <v>46258</v>
      </c>
      <c r="D101" s="1" t="s">
        <v>18</v>
      </c>
      <c r="E101" s="1" t="s">
        <v>9</v>
      </c>
      <c r="F101">
        <v>460</v>
      </c>
      <c r="G101">
        <v>18</v>
      </c>
      <c r="H101">
        <f>WEEKDAY(exercicio_demonstração_aula3[[#This Row],[Data_Producao]])</f>
        <v>5</v>
      </c>
      <c r="I101" s="3">
        <v>5</v>
      </c>
      <c r="J101" s="3">
        <f t="shared" si="2"/>
        <v>5</v>
      </c>
      <c r="L101">
        <f>WEEKDAY(exercicio_demonstração_aula3[[#This Row],[Data_Prevista_Entrega]])</f>
        <v>2</v>
      </c>
      <c r="M101" s="3">
        <f>WEEKDAY(exercicio_demonstração_aula3[[#This Row],[Data_Prevista_Entrega]])</f>
        <v>2</v>
      </c>
      <c r="N101" s="3">
        <f t="shared" si="3"/>
        <v>2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EA95-E1DC-457C-822F-A8CB9F72992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16F0FF-915B-43B6-99E2-C4DF7B0384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exercicio_demonstração_aula3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Honorio Pereira</dc:creator>
  <cp:lastModifiedBy>Antonio Jose Honorio Pereira</cp:lastModifiedBy>
  <dcterms:created xsi:type="dcterms:W3CDTF">2026-09-08T12:53:38Z</dcterms:created>
  <dcterms:modified xsi:type="dcterms:W3CDTF">2026-09-08T13:16:40Z</dcterms:modified>
</cp:coreProperties>
</file>