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SN1103067\Downloads\"/>
    </mc:Choice>
  </mc:AlternateContent>
  <xr:revisionPtr revIDLastSave="0" documentId="13_ncr:1_{66324686-440B-420F-9A02-0C8ECFA3D14D}" xr6:coauthVersionLast="47" xr6:coauthVersionMax="47" xr10:uidLastSave="{00000000-0000-0000-0000-000000000000}"/>
  <bookViews>
    <workbookView xWindow="-110" yWindow="-110" windowWidth="19420" windowHeight="10300" tabRatio="500" activeTab="5" xr2:uid="{00000000-000D-0000-FFFF-FFFF00000000}"/>
  </bookViews>
  <sheets>
    <sheet name="0_Enunciado" sheetId="1" r:id="rId1"/>
    <sheet name="1_Custos" sheetId="2" r:id="rId2"/>
    <sheet name="2_Setup" sheetId="3" r:id="rId3"/>
    <sheet name="3_Fornecedores" sheetId="4" r:id="rId4"/>
    <sheet name="4_OPs" sheetId="5" r:id="rId5"/>
    <sheet name="5_Resposta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34" i="6" l="1"/>
  <c r="C34" i="6"/>
  <c r="B34" i="6"/>
  <c r="A34" i="6"/>
  <c r="D33" i="6"/>
  <c r="C33" i="6"/>
  <c r="B33" i="6"/>
  <c r="A33" i="6"/>
  <c r="D32" i="6"/>
  <c r="C32" i="6"/>
  <c r="B32" i="6"/>
  <c r="A32" i="6"/>
  <c r="D31" i="6"/>
  <c r="C31" i="6"/>
  <c r="B31" i="6"/>
  <c r="A31" i="6"/>
  <c r="D30" i="6"/>
  <c r="C30" i="6"/>
  <c r="B30" i="6"/>
  <c r="A30" i="6"/>
  <c r="D29" i="6"/>
  <c r="C29" i="6"/>
  <c r="B29" i="6"/>
  <c r="A29" i="6"/>
  <c r="D28" i="6"/>
  <c r="C28" i="6"/>
  <c r="B28" i="6"/>
  <c r="A28" i="6"/>
  <c r="D27" i="6"/>
  <c r="C27" i="6"/>
  <c r="B27" i="6"/>
  <c r="A27" i="6"/>
  <c r="D26" i="6"/>
  <c r="C26" i="6"/>
  <c r="B26" i="6"/>
  <c r="A26" i="6"/>
  <c r="D25" i="6"/>
  <c r="C25" i="6"/>
  <c r="B25" i="6"/>
  <c r="A25" i="6"/>
  <c r="D24" i="6"/>
  <c r="C24" i="6"/>
  <c r="B24" i="6"/>
  <c r="A24" i="6"/>
  <c r="D23" i="6"/>
  <c r="C23" i="6"/>
  <c r="B23" i="6"/>
  <c r="A23" i="6"/>
  <c r="D22" i="6"/>
  <c r="C22" i="6"/>
  <c r="B22" i="6"/>
  <c r="A22" i="6"/>
  <c r="D21" i="6"/>
  <c r="C21" i="6"/>
  <c r="B21" i="6"/>
  <c r="A21" i="6"/>
  <c r="D20" i="6"/>
  <c r="C20" i="6"/>
  <c r="B20" i="6"/>
  <c r="A20" i="6"/>
  <c r="D19" i="6"/>
  <c r="C19" i="6"/>
  <c r="B19" i="6"/>
  <c r="A19" i="6"/>
  <c r="D18" i="6"/>
  <c r="C18" i="6"/>
  <c r="B18" i="6"/>
  <c r="A18" i="6"/>
  <c r="D17" i="6"/>
  <c r="C17" i="6"/>
  <c r="B17" i="6"/>
  <c r="A17" i="6"/>
  <c r="D16" i="6"/>
  <c r="C16" i="6"/>
  <c r="B16" i="6"/>
  <c r="A16" i="6"/>
  <c r="D15" i="6"/>
  <c r="C15" i="6"/>
  <c r="B15" i="6"/>
  <c r="A15" i="6"/>
  <c r="D14" i="6"/>
  <c r="C14" i="6"/>
  <c r="B14" i="6"/>
  <c r="A14" i="6"/>
  <c r="D13" i="6"/>
  <c r="C13" i="6"/>
  <c r="B13" i="6"/>
  <c r="A13" i="6"/>
  <c r="D12" i="6"/>
  <c r="C12" i="6"/>
  <c r="B12" i="6"/>
  <c r="A12" i="6"/>
  <c r="D11" i="6"/>
  <c r="C11" i="6"/>
  <c r="B11" i="6"/>
  <c r="A11" i="6"/>
</calcChain>
</file>

<file path=xl/sharedStrings.xml><?xml version="1.0" encoding="utf-8"?>
<sst xmlns="http://schemas.openxmlformats.org/spreadsheetml/2006/main" count="250" uniqueCount="146">
  <si>
    <t>EXERCÍCIO – CUSTOS, SETUP E SUPRIMENTOS NA MONTAGEM DE BICICLETAS</t>
  </si>
  <si>
    <t>Contexto</t>
  </si>
  <si>
    <t>Uma montadora fabrica 3 modelos de bicicleta (Básica, Moderna e Avançada), cada um em sua própria linha. Toda ordem de produção (OP) exige um setup da linha. Os dados estão separados em 4 abas, como em um sistema real: custos de peças, setup das linhas, fornecedores e carteira de OPs.</t>
  </si>
  <si>
    <t>Abas de dados (não altere)</t>
  </si>
  <si>
    <t>1_Custos – peças de cada modelo, material e custo do conjunto por bicicleta</t>
  </si>
  <si>
    <t>2_Setup – tempo e custo de setup e tempo de ciclo por modelo</t>
  </si>
  <si>
    <t>3_Fornecedores – dois fornecedores por material (Homologado e Reserva), lead time e frete</t>
  </si>
  <si>
    <t>4_OPs – 24 ordens de produção com data, modelo, quantidade e status</t>
  </si>
  <si>
    <t>Tarefas (responda na aba 5_Respostas, células amarelas, sempre com FÓRMULAS que referenciem as abas de dados)</t>
  </si>
  <si>
    <t>Q1. Custo de materiais por bicicleta de cada modelo (soma das peças do modelo). Dica: SOMASE.</t>
  </si>
  <si>
    <t>Q2. Lead time crítico de cada modelo: o MAIOR lead time entre os fornecedores HOMOLOGADOS dos materiais usados no modelo. Dica: SOMASES para trazer o lead time de cada peça e MÁXIMOSES no modelo.</t>
  </si>
  <si>
    <t>Q3. Custo de materiais por bicicleta INCLUINDO frete (custo da peça × (1 + frete do fornecedor homologado do material)).</t>
  </si>
  <si>
    <t>Q4. Para cada OP: custo de materiais (Q3 × quantidade), custo de setup, custo total, custo por bicicleta e tempo total de produção em horas (setup + quantidade × ciclo). Dica: ÍNDICE+CORRESP ou PROCV.</t>
  </si>
  <si>
    <t>Q5. Resumo por modelo considerando APENAS OPs 'Concluída': nº de OPs, bicicletas produzidas, custo total, custo médio por bicicleta e % do custo total que corresponde a setup. Dica: CONT.SES e SOMASES.</t>
  </si>
  <si>
    <t>Q6. (Análise) Em qual modelo o setup pesa mais no custo? Que ação Lean você recomendaria (ex.: SMED, revisão de tamanho de lote) e por quê?</t>
  </si>
  <si>
    <t>Código Peça</t>
  </si>
  <si>
    <t>Descrição</t>
  </si>
  <si>
    <t>Modelo Bicicleta</t>
  </si>
  <si>
    <t>Material Principal</t>
  </si>
  <si>
    <t>Custo Unitário</t>
  </si>
  <si>
    <t>Custo Unitário = custo do conjunto por bicicleta (ex.: pneu = par). Valores fictícios para fins didáticos.</t>
  </si>
  <si>
    <t>P-1001</t>
  </si>
  <si>
    <t>Quadro Aço</t>
  </si>
  <si>
    <t>Básica</t>
  </si>
  <si>
    <t>Aço</t>
  </si>
  <si>
    <t>P-1002</t>
  </si>
  <si>
    <t>Quadro Alumínio</t>
  </si>
  <si>
    <t>Moderna</t>
  </si>
  <si>
    <t>Alumínio</t>
  </si>
  <si>
    <t>P-1003</t>
  </si>
  <si>
    <t>Quadro Carbono</t>
  </si>
  <si>
    <t>Avançada</t>
  </si>
  <si>
    <t>Carbono</t>
  </si>
  <si>
    <t>P-1004</t>
  </si>
  <si>
    <t>Guidão Aço</t>
  </si>
  <si>
    <t>P-1005</t>
  </si>
  <si>
    <t>Guidão Alumínio</t>
  </si>
  <si>
    <t>P-1006</t>
  </si>
  <si>
    <t>Guidão Carbono</t>
  </si>
  <si>
    <t>P-1007</t>
  </si>
  <si>
    <t>Pneu Urbano</t>
  </si>
  <si>
    <t>Borracha</t>
  </si>
  <si>
    <t>P-1008</t>
  </si>
  <si>
    <t>Pneu Misto</t>
  </si>
  <si>
    <t>P-1009</t>
  </si>
  <si>
    <t>Pneu Kevlar</t>
  </si>
  <si>
    <t>P-1010</t>
  </si>
  <si>
    <t>Selim Básico</t>
  </si>
  <si>
    <t>Polímero</t>
  </si>
  <si>
    <t>P-1011</t>
  </si>
  <si>
    <t>Selim Gel</t>
  </si>
  <si>
    <t>P-1012</t>
  </si>
  <si>
    <t>Selim Carbono</t>
  </si>
  <si>
    <t>P-1013</t>
  </si>
  <si>
    <t>Freio V-Brake</t>
  </si>
  <si>
    <t>P-1014</t>
  </si>
  <si>
    <t>Freio a Disco Mecânico</t>
  </si>
  <si>
    <t>P-1015</t>
  </si>
  <si>
    <t>Freio a Disco Hidráulico</t>
  </si>
  <si>
    <t>Linha de Montagem</t>
  </si>
  <si>
    <t>Tempo de Setup (min)</t>
  </si>
  <si>
    <t>Custo de Setup (R$/setup)</t>
  </si>
  <si>
    <t>Tempo de Ciclo (min/un)</t>
  </si>
  <si>
    <t>Cada OP exige 1 setup na linha do modelo. Valores fictícios.</t>
  </si>
  <si>
    <t>Linha 1</t>
  </si>
  <si>
    <t>Linha 2</t>
  </si>
  <si>
    <t>Linha 3</t>
  </si>
  <si>
    <t>Código Fornecedor</t>
  </si>
  <si>
    <t>Razão Social</t>
  </si>
  <si>
    <t>Material</t>
  </si>
  <si>
    <t>Status</t>
  </si>
  <si>
    <t>Lead Time (dias)</t>
  </si>
  <si>
    <t>Frete (% s/ custo)</t>
  </si>
  <si>
    <t>Nota Qualidade (0-10)</t>
  </si>
  <si>
    <t>Compras usa sempre o fornecedor 'Homologado'. Empresas fictícias.</t>
  </si>
  <si>
    <t>F-01</t>
  </si>
  <si>
    <t>Siderúrgica Paulista Ltda</t>
  </si>
  <si>
    <t>Homologado</t>
  </si>
  <si>
    <t>F-02</t>
  </si>
  <si>
    <t>Aços Vale Comércio</t>
  </si>
  <si>
    <t>Reserva</t>
  </si>
  <si>
    <t>F-03</t>
  </si>
  <si>
    <t>AluTec Perfis</t>
  </si>
  <si>
    <t>F-04</t>
  </si>
  <si>
    <t>Ligas do Sul</t>
  </si>
  <si>
    <t>F-05</t>
  </si>
  <si>
    <t>CarbonFiber Brasil</t>
  </si>
  <si>
    <t>F-06</t>
  </si>
  <si>
    <t>Compósitos Avançados SA</t>
  </si>
  <si>
    <t>F-07</t>
  </si>
  <si>
    <t>Borrachas Industriais Serra</t>
  </si>
  <si>
    <t>F-08</t>
  </si>
  <si>
    <t>Pneutec Distribuidora</t>
  </si>
  <si>
    <t>F-09</t>
  </si>
  <si>
    <t>Plásticos ABC</t>
  </si>
  <si>
    <t>F-10</t>
  </si>
  <si>
    <t>PoliForm Injetados</t>
  </si>
  <si>
    <t>Nº OP</t>
  </si>
  <si>
    <t>Data Início</t>
  </si>
  <si>
    <t>Quantidade</t>
  </si>
  <si>
    <t>OP-001</t>
  </si>
  <si>
    <t>Concluída</t>
  </si>
  <si>
    <t>OP-002</t>
  </si>
  <si>
    <t>OP-003</t>
  </si>
  <si>
    <t>OP-004</t>
  </si>
  <si>
    <t>OP-005</t>
  </si>
  <si>
    <t>OP-006</t>
  </si>
  <si>
    <t>OP-007</t>
  </si>
  <si>
    <t>OP-008</t>
  </si>
  <si>
    <t>OP-009</t>
  </si>
  <si>
    <t>OP-010</t>
  </si>
  <si>
    <t>OP-011</t>
  </si>
  <si>
    <t>OP-012</t>
  </si>
  <si>
    <t>OP-013</t>
  </si>
  <si>
    <t>OP-014</t>
  </si>
  <si>
    <t>OP-015</t>
  </si>
  <si>
    <t>OP-016</t>
  </si>
  <si>
    <t>OP-017</t>
  </si>
  <si>
    <t>Em andamento</t>
  </si>
  <si>
    <t>OP-018</t>
  </si>
  <si>
    <t>OP-019</t>
  </si>
  <si>
    <t>Planejada</t>
  </si>
  <si>
    <t>OP-020</t>
  </si>
  <si>
    <t>OP-021</t>
  </si>
  <si>
    <t>OP-022</t>
  </si>
  <si>
    <t>OP-023</t>
  </si>
  <si>
    <t>OP-024</t>
  </si>
  <si>
    <t>RESPOSTAS DO ALUNO</t>
  </si>
  <si>
    <t>Q1 a Q3 – Indicadores por modelo</t>
  </si>
  <si>
    <t>Preencha as células amarelas com fórmulas.</t>
  </si>
  <si>
    <t>Q1 Custo materiais/bicicleta</t>
  </si>
  <si>
    <t>Q2 Lead time crítico (dias)</t>
  </si>
  <si>
    <t>Q3 Custo materiais c/ frete/bicicleta</t>
  </si>
  <si>
    <t>Q4 – Custo e tempo por OP</t>
  </si>
  <si>
    <t>Custo materiais (R$)</t>
  </si>
  <si>
    <t>Custo setup (R$)</t>
  </si>
  <si>
    <t>Custo total (R$)</t>
  </si>
  <si>
    <t>Custo por bicicleta (R$)</t>
  </si>
  <si>
    <t>Tempo total (h)</t>
  </si>
  <si>
    <t>← linha-exemplo resolvida (OP-001)</t>
  </si>
  <si>
    <t>Q5 – Resumo por modelo (somente OPs 'Concluída')</t>
  </si>
  <si>
    <t>Nº OPs</t>
  </si>
  <si>
    <t>Bicicletas produzidas</t>
  </si>
  <si>
    <t>Custo médio/bicicleta (R$)</t>
  </si>
  <si>
    <t>% do custo em setup</t>
  </si>
  <si>
    <t>Q6 – Análise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</si>
</sst>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R$ &quot;#,##0.00;&quot;(R$ &quot;#,##0.00\);\-"/>
    <numFmt numFmtId="165" formatCode="0.0%"/>
    <numFmt numFmtId="166" formatCode="0.0"/>
  </numFmts>
  <fonts count="9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sz val="11"/>
      <name val="Arial"/>
      <charset val="1"/>
    </font>
    <font>
      <b/>
      <sz val="12"/>
      <name val="Arial"/>
      <charset val="1"/>
    </font>
    <font>
      <b/>
      <sz val="11"/>
      <color rgb="FFFFFFFF"/>
      <name val="Arial"/>
      <charset val="1"/>
    </font>
    <font>
      <i/>
      <sz val="9"/>
      <name val="Arial"/>
      <charset val="1"/>
    </font>
    <font>
      <sz val="11"/>
      <color rgb="FF0000FF"/>
      <name val="Arial"/>
      <charset val="1"/>
    </font>
    <font>
      <sz val="11"/>
      <color rgb="FF008000"/>
      <name val="Arial"/>
      <charset val="1"/>
    </font>
    <font>
      <i/>
      <sz val="11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E7E6E6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3" borderId="1" xfId="0" applyFill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0" xfId="0" applyFont="1"/>
    <xf numFmtId="0" fontId="2" fillId="0" borderId="1" xfId="0" applyFont="1" applyBorder="1"/>
    <xf numFmtId="164" fontId="6" fillId="0" borderId="1" xfId="0" applyNumberFormat="1" applyFont="1" applyBorder="1"/>
    <xf numFmtId="0" fontId="6" fillId="0" borderId="1" xfId="0" applyFont="1" applyBorder="1"/>
    <xf numFmtId="165" fontId="6" fillId="0" borderId="1" xfId="0" applyNumberFormat="1" applyFont="1" applyBorder="1"/>
    <xf numFmtId="166" fontId="6" fillId="0" borderId="1" xfId="0" applyNumberFormat="1" applyFont="1" applyBorder="1"/>
    <xf numFmtId="14" fontId="6" fillId="0" borderId="1" xfId="0" applyNumberFormat="1" applyFont="1" applyBorder="1"/>
    <xf numFmtId="0" fontId="1" fillId="0" borderId="0" xfId="0" applyFont="1"/>
    <xf numFmtId="0" fontId="3" fillId="0" borderId="0" xfId="0" applyFont="1"/>
    <xf numFmtId="164" fontId="2" fillId="3" borderId="1" xfId="0" applyNumberFormat="1" applyFont="1" applyFill="1" applyBorder="1"/>
    <xf numFmtId="1" fontId="2" fillId="3" borderId="1" xfId="0" applyNumberFormat="1" applyFont="1" applyFill="1" applyBorder="1"/>
    <xf numFmtId="0" fontId="7" fillId="0" borderId="1" xfId="0" applyFont="1" applyBorder="1"/>
    <xf numFmtId="164" fontId="8" fillId="4" borderId="1" xfId="0" applyNumberFormat="1" applyFont="1" applyFill="1" applyBorder="1"/>
    <xf numFmtId="166" fontId="8" fillId="4" borderId="1" xfId="0" applyNumberFormat="1" applyFont="1" applyFill="1" applyBorder="1"/>
    <xf numFmtId="166" fontId="2" fillId="3" borderId="1" xfId="0" applyNumberFormat="1" applyFont="1" applyFill="1" applyBorder="1"/>
    <xf numFmtId="165" fontId="2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A19"/>
  <sheetViews>
    <sheetView topLeftCell="A10" zoomScaleNormal="100" workbookViewId="0">
      <selection activeCell="C16" sqref="C16"/>
    </sheetView>
  </sheetViews>
  <sheetFormatPr defaultColWidth="8.6328125" defaultRowHeight="14.5" x14ac:dyDescent="0.35"/>
  <cols>
    <col min="1" max="1" width="120" customWidth="1"/>
  </cols>
  <sheetData>
    <row r="1" spans="1:1" ht="18" x14ac:dyDescent="0.35">
      <c r="A1" s="2" t="s">
        <v>0</v>
      </c>
    </row>
    <row r="2" spans="1:1" x14ac:dyDescent="0.35">
      <c r="A2" s="3"/>
    </row>
    <row r="3" spans="1:1" ht="15.5" x14ac:dyDescent="0.35">
      <c r="A3" s="4" t="s">
        <v>1</v>
      </c>
    </row>
    <row r="4" spans="1:1" ht="42" x14ac:dyDescent="0.35">
      <c r="A4" s="3" t="s">
        <v>2</v>
      </c>
    </row>
    <row r="5" spans="1:1" x14ac:dyDescent="0.35">
      <c r="A5" s="3"/>
    </row>
    <row r="6" spans="1:1" ht="15.5" x14ac:dyDescent="0.35">
      <c r="A6" s="4" t="s">
        <v>3</v>
      </c>
    </row>
    <row r="7" spans="1:1" x14ac:dyDescent="0.35">
      <c r="A7" s="3" t="s">
        <v>4</v>
      </c>
    </row>
    <row r="8" spans="1:1" x14ac:dyDescent="0.35">
      <c r="A8" s="3" t="s">
        <v>5</v>
      </c>
    </row>
    <row r="9" spans="1:1" x14ac:dyDescent="0.35">
      <c r="A9" s="3" t="s">
        <v>6</v>
      </c>
    </row>
    <row r="10" spans="1:1" x14ac:dyDescent="0.35">
      <c r="A10" s="3" t="s">
        <v>7</v>
      </c>
    </row>
    <row r="11" spans="1:1" x14ac:dyDescent="0.35">
      <c r="A11" s="3"/>
    </row>
    <row r="12" spans="1:1" ht="31" x14ac:dyDescent="0.35">
      <c r="A12" s="4" t="s">
        <v>8</v>
      </c>
    </row>
    <row r="13" spans="1:1" x14ac:dyDescent="0.35">
      <c r="A13" s="3" t="s">
        <v>9</v>
      </c>
    </row>
    <row r="14" spans="1:1" ht="28" x14ac:dyDescent="0.35">
      <c r="A14" s="3" t="s">
        <v>10</v>
      </c>
    </row>
    <row r="15" spans="1:1" x14ac:dyDescent="0.35">
      <c r="A15" s="3" t="s">
        <v>11</v>
      </c>
    </row>
    <row r="16" spans="1:1" ht="28" x14ac:dyDescent="0.35">
      <c r="A16" s="3" t="s">
        <v>12</v>
      </c>
    </row>
    <row r="17" spans="1:1" ht="28" x14ac:dyDescent="0.35">
      <c r="A17" s="3" t="s">
        <v>13</v>
      </c>
    </row>
    <row r="18" spans="1:1" ht="28" x14ac:dyDescent="0.35">
      <c r="A18" s="3" t="s">
        <v>14</v>
      </c>
    </row>
    <row r="19" spans="1:1" x14ac:dyDescent="0.35">
      <c r="A19" s="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G16"/>
  <sheetViews>
    <sheetView zoomScaleNormal="100" workbookViewId="0">
      <pane ySplit="1" topLeftCell="A2" activePane="bottomLeft" state="frozen"/>
      <selection pane="bottomLeft" activeCell="J8" sqref="J8"/>
    </sheetView>
  </sheetViews>
  <sheetFormatPr defaultColWidth="8.6328125" defaultRowHeight="14.5" x14ac:dyDescent="0.35"/>
  <cols>
    <col min="1" max="1" width="13" customWidth="1"/>
    <col min="2" max="2" width="26" customWidth="1"/>
    <col min="3" max="3" width="17" customWidth="1"/>
    <col min="4" max="4" width="19" customWidth="1"/>
    <col min="5" max="5" width="16" customWidth="1"/>
  </cols>
  <sheetData>
    <row r="1" spans="1:7" ht="31.5" customHeight="1" x14ac:dyDescent="0.35">
      <c r="A1" s="5" t="s">
        <v>15</v>
      </c>
      <c r="B1" s="5" t="s">
        <v>16</v>
      </c>
      <c r="C1" s="5" t="s">
        <v>17</v>
      </c>
      <c r="D1" s="5" t="s">
        <v>18</v>
      </c>
      <c r="E1" s="5" t="s">
        <v>19</v>
      </c>
      <c r="G1" s="6" t="s">
        <v>20</v>
      </c>
    </row>
    <row r="2" spans="1:7" x14ac:dyDescent="0.35">
      <c r="A2" s="7" t="s">
        <v>21</v>
      </c>
      <c r="B2" s="7" t="s">
        <v>22</v>
      </c>
      <c r="C2" s="7" t="s">
        <v>23</v>
      </c>
      <c r="D2" s="7" t="s">
        <v>24</v>
      </c>
      <c r="E2" s="8">
        <v>150</v>
      </c>
    </row>
    <row r="3" spans="1:7" x14ac:dyDescent="0.35">
      <c r="A3" s="7" t="s">
        <v>25</v>
      </c>
      <c r="B3" s="7" t="s">
        <v>26</v>
      </c>
      <c r="C3" s="7" t="s">
        <v>27</v>
      </c>
      <c r="D3" s="7" t="s">
        <v>28</v>
      </c>
      <c r="E3" s="8">
        <v>400</v>
      </c>
    </row>
    <row r="4" spans="1:7" x14ac:dyDescent="0.35">
      <c r="A4" s="7" t="s">
        <v>29</v>
      </c>
      <c r="B4" s="7" t="s">
        <v>30</v>
      </c>
      <c r="C4" s="7" t="s">
        <v>31</v>
      </c>
      <c r="D4" s="7" t="s">
        <v>32</v>
      </c>
      <c r="E4" s="8">
        <v>850</v>
      </c>
    </row>
    <row r="5" spans="1:7" x14ac:dyDescent="0.35">
      <c r="A5" s="7" t="s">
        <v>33</v>
      </c>
      <c r="B5" s="7" t="s">
        <v>34</v>
      </c>
      <c r="C5" s="7" t="s">
        <v>23</v>
      </c>
      <c r="D5" s="7" t="s">
        <v>24</v>
      </c>
      <c r="E5" s="8">
        <v>35</v>
      </c>
    </row>
    <row r="6" spans="1:7" x14ac:dyDescent="0.35">
      <c r="A6" s="7" t="s">
        <v>35</v>
      </c>
      <c r="B6" s="7" t="s">
        <v>36</v>
      </c>
      <c r="C6" s="7" t="s">
        <v>27</v>
      </c>
      <c r="D6" s="7" t="s">
        <v>28</v>
      </c>
      <c r="E6" s="8">
        <v>80</v>
      </c>
    </row>
    <row r="7" spans="1:7" x14ac:dyDescent="0.35">
      <c r="A7" s="7" t="s">
        <v>37</v>
      </c>
      <c r="B7" s="7" t="s">
        <v>38</v>
      </c>
      <c r="C7" s="7" t="s">
        <v>31</v>
      </c>
      <c r="D7" s="7" t="s">
        <v>32</v>
      </c>
      <c r="E7" s="8">
        <v>150</v>
      </c>
    </row>
    <row r="8" spans="1:7" x14ac:dyDescent="0.35">
      <c r="A8" s="7" t="s">
        <v>39</v>
      </c>
      <c r="B8" s="7" t="s">
        <v>40</v>
      </c>
      <c r="C8" s="7" t="s">
        <v>23</v>
      </c>
      <c r="D8" s="7" t="s">
        <v>41</v>
      </c>
      <c r="E8" s="8">
        <v>40</v>
      </c>
    </row>
    <row r="9" spans="1:7" x14ac:dyDescent="0.35">
      <c r="A9" s="7" t="s">
        <v>42</v>
      </c>
      <c r="B9" s="7" t="s">
        <v>43</v>
      </c>
      <c r="C9" s="7" t="s">
        <v>27</v>
      </c>
      <c r="D9" s="7" t="s">
        <v>41</v>
      </c>
      <c r="E9" s="8">
        <v>75</v>
      </c>
    </row>
    <row r="10" spans="1:7" x14ac:dyDescent="0.35">
      <c r="A10" s="7" t="s">
        <v>44</v>
      </c>
      <c r="B10" s="7" t="s">
        <v>45</v>
      </c>
      <c r="C10" s="7" t="s">
        <v>31</v>
      </c>
      <c r="D10" s="7" t="s">
        <v>41</v>
      </c>
      <c r="E10" s="8">
        <v>120</v>
      </c>
    </row>
    <row r="11" spans="1:7" x14ac:dyDescent="0.35">
      <c r="A11" s="7" t="s">
        <v>46</v>
      </c>
      <c r="B11" s="7" t="s">
        <v>47</v>
      </c>
      <c r="C11" s="7" t="s">
        <v>23</v>
      </c>
      <c r="D11" s="7" t="s">
        <v>48</v>
      </c>
      <c r="E11" s="8">
        <v>25</v>
      </c>
    </row>
    <row r="12" spans="1:7" x14ac:dyDescent="0.35">
      <c r="A12" s="7" t="s">
        <v>49</v>
      </c>
      <c r="B12" s="7" t="s">
        <v>50</v>
      </c>
      <c r="C12" s="7" t="s">
        <v>27</v>
      </c>
      <c r="D12" s="7" t="s">
        <v>48</v>
      </c>
      <c r="E12" s="8">
        <v>60</v>
      </c>
    </row>
    <row r="13" spans="1:7" x14ac:dyDescent="0.35">
      <c r="A13" s="7" t="s">
        <v>51</v>
      </c>
      <c r="B13" s="7" t="s">
        <v>52</v>
      </c>
      <c r="C13" s="7" t="s">
        <v>31</v>
      </c>
      <c r="D13" s="7" t="s">
        <v>32</v>
      </c>
      <c r="E13" s="8">
        <v>180</v>
      </c>
    </row>
    <row r="14" spans="1:7" x14ac:dyDescent="0.35">
      <c r="A14" s="7" t="s">
        <v>53</v>
      </c>
      <c r="B14" s="7" t="s">
        <v>54</v>
      </c>
      <c r="C14" s="7" t="s">
        <v>23</v>
      </c>
      <c r="D14" s="7" t="s">
        <v>24</v>
      </c>
      <c r="E14" s="8">
        <v>30</v>
      </c>
    </row>
    <row r="15" spans="1:7" x14ac:dyDescent="0.35">
      <c r="A15" s="7" t="s">
        <v>55</v>
      </c>
      <c r="B15" s="7" t="s">
        <v>56</v>
      </c>
      <c r="C15" s="7" t="s">
        <v>27</v>
      </c>
      <c r="D15" s="7" t="s">
        <v>24</v>
      </c>
      <c r="E15" s="8">
        <v>120</v>
      </c>
    </row>
    <row r="16" spans="1:7" x14ac:dyDescent="0.35">
      <c r="A16" s="7" t="s">
        <v>57</v>
      </c>
      <c r="B16" s="7" t="s">
        <v>58</v>
      </c>
      <c r="C16" s="7" t="s">
        <v>31</v>
      </c>
      <c r="D16" s="7" t="s">
        <v>28</v>
      </c>
      <c r="E16" s="8">
        <v>320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G4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17" customWidth="1"/>
    <col min="2" max="2" width="18" customWidth="1"/>
    <col min="3" max="3" width="16" customWidth="1"/>
    <col min="4" max="4" width="18" customWidth="1"/>
    <col min="5" max="5" width="16" customWidth="1"/>
  </cols>
  <sheetData>
    <row r="1" spans="1:7" ht="31.5" customHeight="1" x14ac:dyDescent="0.35">
      <c r="A1" s="5" t="s">
        <v>17</v>
      </c>
      <c r="B1" s="5" t="s">
        <v>59</v>
      </c>
      <c r="C1" s="5" t="s">
        <v>60</v>
      </c>
      <c r="D1" s="5" t="s">
        <v>61</v>
      </c>
      <c r="E1" s="5" t="s">
        <v>62</v>
      </c>
      <c r="G1" s="6" t="s">
        <v>63</v>
      </c>
    </row>
    <row r="2" spans="1:7" x14ac:dyDescent="0.35">
      <c r="A2" s="7" t="s">
        <v>23</v>
      </c>
      <c r="B2" s="7" t="s">
        <v>64</v>
      </c>
      <c r="C2" s="9">
        <v>30</v>
      </c>
      <c r="D2" s="8">
        <v>180</v>
      </c>
      <c r="E2" s="9">
        <v>12</v>
      </c>
    </row>
    <row r="3" spans="1:7" x14ac:dyDescent="0.35">
      <c r="A3" s="7" t="s">
        <v>27</v>
      </c>
      <c r="B3" s="7" t="s">
        <v>65</v>
      </c>
      <c r="C3" s="9">
        <v>45</v>
      </c>
      <c r="D3" s="8">
        <v>320</v>
      </c>
      <c r="E3" s="9">
        <v>18</v>
      </c>
    </row>
    <row r="4" spans="1:7" x14ac:dyDescent="0.35">
      <c r="A4" s="7" t="s">
        <v>31</v>
      </c>
      <c r="B4" s="7" t="s">
        <v>66</v>
      </c>
      <c r="C4" s="9">
        <v>90</v>
      </c>
      <c r="D4" s="8">
        <v>750</v>
      </c>
      <c r="E4" s="9">
        <v>35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A1:I11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12" customWidth="1"/>
    <col min="2" max="2" width="30" customWidth="1"/>
    <col min="3" max="5" width="13" customWidth="1"/>
    <col min="6" max="7" width="14" customWidth="1"/>
  </cols>
  <sheetData>
    <row r="1" spans="1:9" ht="31.5" customHeight="1" x14ac:dyDescent="0.35">
      <c r="A1" s="5" t="s">
        <v>67</v>
      </c>
      <c r="B1" s="5" t="s">
        <v>68</v>
      </c>
      <c r="C1" s="5" t="s">
        <v>69</v>
      </c>
      <c r="D1" s="5" t="s">
        <v>70</v>
      </c>
      <c r="E1" s="5" t="s">
        <v>71</v>
      </c>
      <c r="F1" s="5" t="s">
        <v>72</v>
      </c>
      <c r="G1" s="5" t="s">
        <v>73</v>
      </c>
      <c r="I1" s="6" t="s">
        <v>74</v>
      </c>
    </row>
    <row r="2" spans="1:9" x14ac:dyDescent="0.35">
      <c r="A2" s="7" t="s">
        <v>75</v>
      </c>
      <c r="B2" s="7" t="s">
        <v>76</v>
      </c>
      <c r="C2" s="7" t="s">
        <v>24</v>
      </c>
      <c r="D2" s="7" t="s">
        <v>77</v>
      </c>
      <c r="E2" s="9">
        <v>7</v>
      </c>
      <c r="F2" s="10">
        <v>0.03</v>
      </c>
      <c r="G2" s="11">
        <v>8.5</v>
      </c>
    </row>
    <row r="3" spans="1:9" x14ac:dyDescent="0.35">
      <c r="A3" s="7" t="s">
        <v>78</v>
      </c>
      <c r="B3" s="7" t="s">
        <v>79</v>
      </c>
      <c r="C3" s="7" t="s">
        <v>24</v>
      </c>
      <c r="D3" s="7" t="s">
        <v>80</v>
      </c>
      <c r="E3" s="9">
        <v>12</v>
      </c>
      <c r="F3" s="10">
        <v>0.02</v>
      </c>
      <c r="G3" s="11">
        <v>7.8</v>
      </c>
    </row>
    <row r="4" spans="1:9" x14ac:dyDescent="0.35">
      <c r="A4" s="7" t="s">
        <v>81</v>
      </c>
      <c r="B4" s="7" t="s">
        <v>82</v>
      </c>
      <c r="C4" s="7" t="s">
        <v>28</v>
      </c>
      <c r="D4" s="7" t="s">
        <v>77</v>
      </c>
      <c r="E4" s="9">
        <v>15</v>
      </c>
      <c r="F4" s="10">
        <v>0.04</v>
      </c>
      <c r="G4" s="11">
        <v>9</v>
      </c>
    </row>
    <row r="5" spans="1:9" x14ac:dyDescent="0.35">
      <c r="A5" s="7" t="s">
        <v>83</v>
      </c>
      <c r="B5" s="7" t="s">
        <v>84</v>
      </c>
      <c r="C5" s="7" t="s">
        <v>28</v>
      </c>
      <c r="D5" s="7" t="s">
        <v>80</v>
      </c>
      <c r="E5" s="9">
        <v>10</v>
      </c>
      <c r="F5" s="10">
        <v>0.06</v>
      </c>
      <c r="G5" s="11">
        <v>7.5</v>
      </c>
    </row>
    <row r="6" spans="1:9" x14ac:dyDescent="0.35">
      <c r="A6" s="7" t="s">
        <v>85</v>
      </c>
      <c r="B6" s="7" t="s">
        <v>86</v>
      </c>
      <c r="C6" s="7" t="s">
        <v>32</v>
      </c>
      <c r="D6" s="7" t="s">
        <v>77</v>
      </c>
      <c r="E6" s="9">
        <v>30</v>
      </c>
      <c r="F6" s="10">
        <v>0.05</v>
      </c>
      <c r="G6" s="11">
        <v>9.4</v>
      </c>
    </row>
    <row r="7" spans="1:9" x14ac:dyDescent="0.35">
      <c r="A7" s="7" t="s">
        <v>87</v>
      </c>
      <c r="B7" s="7" t="s">
        <v>88</v>
      </c>
      <c r="C7" s="7" t="s">
        <v>32</v>
      </c>
      <c r="D7" s="7" t="s">
        <v>80</v>
      </c>
      <c r="E7" s="9">
        <v>45</v>
      </c>
      <c r="F7" s="10">
        <v>0.03</v>
      </c>
      <c r="G7" s="11">
        <v>8.8000000000000007</v>
      </c>
    </row>
    <row r="8" spans="1:9" x14ac:dyDescent="0.35">
      <c r="A8" s="7" t="s">
        <v>89</v>
      </c>
      <c r="B8" s="7" t="s">
        <v>90</v>
      </c>
      <c r="C8" s="7" t="s">
        <v>41</v>
      </c>
      <c r="D8" s="7" t="s">
        <v>77</v>
      </c>
      <c r="E8" s="9">
        <v>5</v>
      </c>
      <c r="F8" s="10">
        <v>0.02</v>
      </c>
      <c r="G8" s="11">
        <v>8.1999999999999993</v>
      </c>
    </row>
    <row r="9" spans="1:9" x14ac:dyDescent="0.35">
      <c r="A9" s="7" t="s">
        <v>91</v>
      </c>
      <c r="B9" s="7" t="s">
        <v>92</v>
      </c>
      <c r="C9" s="7" t="s">
        <v>41</v>
      </c>
      <c r="D9" s="7" t="s">
        <v>80</v>
      </c>
      <c r="E9" s="9">
        <v>8</v>
      </c>
      <c r="F9" s="10">
        <v>2.5000000000000001E-2</v>
      </c>
      <c r="G9" s="11">
        <v>7.9</v>
      </c>
    </row>
    <row r="10" spans="1:9" x14ac:dyDescent="0.35">
      <c r="A10" s="7" t="s">
        <v>93</v>
      </c>
      <c r="B10" s="7" t="s">
        <v>94</v>
      </c>
      <c r="C10" s="7" t="s">
        <v>48</v>
      </c>
      <c r="D10" s="7" t="s">
        <v>77</v>
      </c>
      <c r="E10" s="9">
        <v>10</v>
      </c>
      <c r="F10" s="10">
        <v>0.03</v>
      </c>
      <c r="G10" s="11">
        <v>8</v>
      </c>
    </row>
    <row r="11" spans="1:9" x14ac:dyDescent="0.35">
      <c r="A11" s="7" t="s">
        <v>95</v>
      </c>
      <c r="B11" s="7" t="s">
        <v>96</v>
      </c>
      <c r="C11" s="7" t="s">
        <v>48</v>
      </c>
      <c r="D11" s="7" t="s">
        <v>80</v>
      </c>
      <c r="E11" s="9">
        <v>6</v>
      </c>
      <c r="F11" s="10">
        <v>0.04</v>
      </c>
      <c r="G11" s="11">
        <v>8.6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/>
  <dimension ref="A1:E25"/>
  <sheetViews>
    <sheetView zoomScaleNormal="100" workbookViewId="0">
      <pane ySplit="1" topLeftCell="A2" activePane="bottomLeft" state="frozen"/>
      <selection pane="bottomLeft" activeCell="I6" sqref="I6"/>
    </sheetView>
  </sheetViews>
  <sheetFormatPr defaultColWidth="8.6328125" defaultRowHeight="14.5" x14ac:dyDescent="0.35"/>
  <cols>
    <col min="1" max="1" width="10" customWidth="1"/>
    <col min="2" max="2" width="13" customWidth="1"/>
    <col min="3" max="3" width="17" customWidth="1"/>
    <col min="4" max="4" width="12" customWidth="1"/>
    <col min="5" max="5" width="15" customWidth="1"/>
  </cols>
  <sheetData>
    <row r="1" spans="1:5" ht="31.5" customHeight="1" x14ac:dyDescent="0.35">
      <c r="A1" s="5" t="s">
        <v>97</v>
      </c>
      <c r="B1" s="5" t="s">
        <v>98</v>
      </c>
      <c r="C1" s="5" t="s">
        <v>17</v>
      </c>
      <c r="D1" s="5" t="s">
        <v>99</v>
      </c>
      <c r="E1" s="5" t="s">
        <v>70</v>
      </c>
    </row>
    <row r="2" spans="1:5" x14ac:dyDescent="0.35">
      <c r="A2" s="7" t="s">
        <v>100</v>
      </c>
      <c r="B2" s="12">
        <v>46267</v>
      </c>
      <c r="C2" s="7" t="s">
        <v>27</v>
      </c>
      <c r="D2" s="9">
        <v>40</v>
      </c>
      <c r="E2" s="7" t="s">
        <v>101</v>
      </c>
    </row>
    <row r="3" spans="1:5" x14ac:dyDescent="0.35">
      <c r="A3" s="7" t="s">
        <v>102</v>
      </c>
      <c r="B3" s="12">
        <v>46268</v>
      </c>
      <c r="C3" s="7" t="s">
        <v>31</v>
      </c>
      <c r="D3" s="9">
        <v>12</v>
      </c>
      <c r="E3" s="7" t="s">
        <v>101</v>
      </c>
    </row>
    <row r="4" spans="1:5" x14ac:dyDescent="0.35">
      <c r="A4" s="7" t="s">
        <v>103</v>
      </c>
      <c r="B4" s="12">
        <v>46271</v>
      </c>
      <c r="C4" s="7" t="s">
        <v>23</v>
      </c>
      <c r="D4" s="9">
        <v>40</v>
      </c>
      <c r="E4" s="7" t="s">
        <v>101</v>
      </c>
    </row>
    <row r="5" spans="1:5" x14ac:dyDescent="0.35">
      <c r="A5" s="7" t="s">
        <v>104</v>
      </c>
      <c r="B5" s="12">
        <v>46274</v>
      </c>
      <c r="C5" s="7" t="s">
        <v>23</v>
      </c>
      <c r="D5" s="9">
        <v>80</v>
      </c>
      <c r="E5" s="7" t="s">
        <v>101</v>
      </c>
    </row>
    <row r="6" spans="1:5" x14ac:dyDescent="0.35">
      <c r="A6" s="7" t="s">
        <v>105</v>
      </c>
      <c r="B6" s="12">
        <v>46277</v>
      </c>
      <c r="C6" s="7" t="s">
        <v>31</v>
      </c>
      <c r="D6" s="9">
        <v>5</v>
      </c>
      <c r="E6" s="7" t="s">
        <v>101</v>
      </c>
    </row>
    <row r="7" spans="1:5" x14ac:dyDescent="0.35">
      <c r="A7" s="7" t="s">
        <v>106</v>
      </c>
      <c r="B7" s="12">
        <v>46278</v>
      </c>
      <c r="C7" s="7" t="s">
        <v>23</v>
      </c>
      <c r="D7" s="9">
        <v>60</v>
      </c>
      <c r="E7" s="7" t="s">
        <v>101</v>
      </c>
    </row>
    <row r="8" spans="1:5" x14ac:dyDescent="0.35">
      <c r="A8" s="7" t="s">
        <v>107</v>
      </c>
      <c r="B8" s="12">
        <v>46280</v>
      </c>
      <c r="C8" s="7" t="s">
        <v>27</v>
      </c>
      <c r="D8" s="9">
        <v>20</v>
      </c>
      <c r="E8" s="7" t="s">
        <v>101</v>
      </c>
    </row>
    <row r="9" spans="1:5" x14ac:dyDescent="0.35">
      <c r="A9" s="7" t="s">
        <v>108</v>
      </c>
      <c r="B9" s="12">
        <v>46281</v>
      </c>
      <c r="C9" s="7" t="s">
        <v>27</v>
      </c>
      <c r="D9" s="9">
        <v>20</v>
      </c>
      <c r="E9" s="7" t="s">
        <v>101</v>
      </c>
    </row>
    <row r="10" spans="1:5" x14ac:dyDescent="0.35">
      <c r="A10" s="7" t="s">
        <v>109</v>
      </c>
      <c r="B10" s="12">
        <v>46284</v>
      </c>
      <c r="C10" s="7" t="s">
        <v>23</v>
      </c>
      <c r="D10" s="9">
        <v>40</v>
      </c>
      <c r="E10" s="7" t="s">
        <v>101</v>
      </c>
    </row>
    <row r="11" spans="1:5" x14ac:dyDescent="0.35">
      <c r="A11" s="7" t="s">
        <v>110</v>
      </c>
      <c r="B11" s="12">
        <v>46285</v>
      </c>
      <c r="C11" s="7" t="s">
        <v>27</v>
      </c>
      <c r="D11" s="9">
        <v>50</v>
      </c>
      <c r="E11" s="7" t="s">
        <v>101</v>
      </c>
    </row>
    <row r="12" spans="1:5" x14ac:dyDescent="0.35">
      <c r="A12" s="7" t="s">
        <v>111</v>
      </c>
      <c r="B12" s="12">
        <v>46286</v>
      </c>
      <c r="C12" s="7" t="s">
        <v>31</v>
      </c>
      <c r="D12" s="9">
        <v>15</v>
      </c>
      <c r="E12" s="7" t="s">
        <v>101</v>
      </c>
    </row>
    <row r="13" spans="1:5" x14ac:dyDescent="0.35">
      <c r="A13" s="7" t="s">
        <v>112</v>
      </c>
      <c r="B13" s="12">
        <v>46289</v>
      </c>
      <c r="C13" s="7" t="s">
        <v>23</v>
      </c>
      <c r="D13" s="9">
        <v>150</v>
      </c>
      <c r="E13" s="7" t="s">
        <v>101</v>
      </c>
    </row>
    <row r="14" spans="1:5" x14ac:dyDescent="0.35">
      <c r="A14" s="7" t="s">
        <v>113</v>
      </c>
      <c r="B14" s="12">
        <v>46292</v>
      </c>
      <c r="C14" s="7" t="s">
        <v>27</v>
      </c>
      <c r="D14" s="9">
        <v>20</v>
      </c>
      <c r="E14" s="7" t="s">
        <v>101</v>
      </c>
    </row>
    <row r="15" spans="1:5" x14ac:dyDescent="0.35">
      <c r="A15" s="7" t="s">
        <v>114</v>
      </c>
      <c r="B15" s="12">
        <v>46294</v>
      </c>
      <c r="C15" s="7" t="s">
        <v>31</v>
      </c>
      <c r="D15" s="9">
        <v>15</v>
      </c>
      <c r="E15" s="7" t="s">
        <v>101</v>
      </c>
    </row>
    <row r="16" spans="1:5" x14ac:dyDescent="0.35">
      <c r="A16" s="7" t="s">
        <v>115</v>
      </c>
      <c r="B16" s="12">
        <v>46295</v>
      </c>
      <c r="C16" s="7" t="s">
        <v>23</v>
      </c>
      <c r="D16" s="9">
        <v>40</v>
      </c>
      <c r="E16" s="7" t="s">
        <v>101</v>
      </c>
    </row>
    <row r="17" spans="1:5" x14ac:dyDescent="0.35">
      <c r="A17" s="7" t="s">
        <v>116</v>
      </c>
      <c r="B17" s="12">
        <v>46296</v>
      </c>
      <c r="C17" s="7" t="s">
        <v>23</v>
      </c>
      <c r="D17" s="9">
        <v>120</v>
      </c>
      <c r="E17" s="7" t="s">
        <v>101</v>
      </c>
    </row>
    <row r="18" spans="1:5" x14ac:dyDescent="0.35">
      <c r="A18" s="7" t="s">
        <v>117</v>
      </c>
      <c r="B18" s="12">
        <v>46298</v>
      </c>
      <c r="C18" s="7" t="s">
        <v>31</v>
      </c>
      <c r="D18" s="9">
        <v>10</v>
      </c>
      <c r="E18" s="7" t="s">
        <v>118</v>
      </c>
    </row>
    <row r="19" spans="1:5" x14ac:dyDescent="0.35">
      <c r="A19" s="7" t="s">
        <v>119</v>
      </c>
      <c r="B19" s="12">
        <v>46301</v>
      </c>
      <c r="C19" s="7" t="s">
        <v>23</v>
      </c>
      <c r="D19" s="9">
        <v>60</v>
      </c>
      <c r="E19" s="7" t="s">
        <v>118</v>
      </c>
    </row>
    <row r="20" spans="1:5" x14ac:dyDescent="0.35">
      <c r="A20" s="7" t="s">
        <v>120</v>
      </c>
      <c r="B20" s="12">
        <v>46304</v>
      </c>
      <c r="C20" s="7" t="s">
        <v>27</v>
      </c>
      <c r="D20" s="9">
        <v>20</v>
      </c>
      <c r="E20" s="7" t="s">
        <v>121</v>
      </c>
    </row>
    <row r="21" spans="1:5" x14ac:dyDescent="0.35">
      <c r="A21" s="7" t="s">
        <v>122</v>
      </c>
      <c r="B21" s="12">
        <v>46305</v>
      </c>
      <c r="C21" s="7" t="s">
        <v>27</v>
      </c>
      <c r="D21" s="9">
        <v>60</v>
      </c>
      <c r="E21" s="7" t="s">
        <v>121</v>
      </c>
    </row>
    <row r="22" spans="1:5" x14ac:dyDescent="0.35">
      <c r="A22" s="7" t="s">
        <v>123</v>
      </c>
      <c r="B22" s="12">
        <v>46308</v>
      </c>
      <c r="C22" s="7" t="s">
        <v>23</v>
      </c>
      <c r="D22" s="9">
        <v>40</v>
      </c>
      <c r="E22" s="7" t="s">
        <v>121</v>
      </c>
    </row>
    <row r="23" spans="1:5" x14ac:dyDescent="0.35">
      <c r="A23" s="7" t="s">
        <v>124</v>
      </c>
      <c r="B23" s="12">
        <v>46309</v>
      </c>
      <c r="C23" s="7" t="s">
        <v>27</v>
      </c>
      <c r="D23" s="9">
        <v>60</v>
      </c>
      <c r="E23" s="7" t="s">
        <v>121</v>
      </c>
    </row>
    <row r="24" spans="1:5" x14ac:dyDescent="0.35">
      <c r="A24" s="7" t="s">
        <v>125</v>
      </c>
      <c r="B24" s="12">
        <v>46310</v>
      </c>
      <c r="C24" s="7" t="s">
        <v>31</v>
      </c>
      <c r="D24" s="9">
        <v>10</v>
      </c>
      <c r="E24" s="7" t="s">
        <v>121</v>
      </c>
    </row>
    <row r="25" spans="1:5" x14ac:dyDescent="0.35">
      <c r="A25" s="7" t="s">
        <v>126</v>
      </c>
      <c r="B25" s="12">
        <v>46311</v>
      </c>
      <c r="C25" s="7" t="s">
        <v>31</v>
      </c>
      <c r="D25" s="9">
        <v>20</v>
      </c>
      <c r="E25" s="7" t="s">
        <v>121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6"/>
  <dimension ref="A1:J49"/>
  <sheetViews>
    <sheetView tabSelected="1" zoomScaleNormal="100" workbookViewId="0">
      <selection activeCell="E6" sqref="E6"/>
    </sheetView>
  </sheetViews>
  <sheetFormatPr defaultColWidth="8.6328125" defaultRowHeight="14.5" x14ac:dyDescent="0.35"/>
  <cols>
    <col min="1" max="1" width="17" customWidth="1"/>
    <col min="2" max="2" width="18" customWidth="1"/>
    <col min="3" max="3" width="16" customWidth="1"/>
    <col min="4" max="5" width="18" customWidth="1"/>
    <col min="6" max="7" width="16" customWidth="1"/>
    <col min="8" max="8" width="18" customWidth="1"/>
    <col min="9" max="9" width="14" customWidth="1"/>
    <col min="10" max="10" width="13" customWidth="1"/>
    <col min="11" max="12" width="12" customWidth="1"/>
    <col min="13" max="13" width="14" customWidth="1"/>
    <col min="14" max="14" width="12" customWidth="1"/>
    <col min="15" max="15" width="14" customWidth="1"/>
  </cols>
  <sheetData>
    <row r="1" spans="1:10" ht="18" x14ac:dyDescent="0.4">
      <c r="A1" s="13" t="s">
        <v>127</v>
      </c>
    </row>
    <row r="3" spans="1:10" ht="15.5" x14ac:dyDescent="0.35">
      <c r="A3" s="14" t="s">
        <v>128</v>
      </c>
      <c r="F3" s="6" t="s">
        <v>129</v>
      </c>
    </row>
    <row r="4" spans="1:10" ht="31.5" customHeight="1" x14ac:dyDescent="0.35">
      <c r="A4" s="5" t="s">
        <v>17</v>
      </c>
      <c r="B4" s="5" t="s">
        <v>130</v>
      </c>
      <c r="C4" s="5" t="s">
        <v>131</v>
      </c>
      <c r="D4" s="5" t="s">
        <v>132</v>
      </c>
    </row>
    <row r="5" spans="1:10" x14ac:dyDescent="0.35">
      <c r="A5" s="7" t="s">
        <v>23</v>
      </c>
      <c r="B5" s="15"/>
      <c r="C5" s="16"/>
      <c r="D5" s="15"/>
    </row>
    <row r="6" spans="1:10" x14ac:dyDescent="0.35">
      <c r="A6" s="7" t="s">
        <v>27</v>
      </c>
      <c r="B6" s="15"/>
      <c r="C6" s="16"/>
      <c r="D6" s="15"/>
    </row>
    <row r="7" spans="1:10" x14ac:dyDescent="0.35">
      <c r="A7" s="7" t="s">
        <v>31</v>
      </c>
      <c r="B7" s="15"/>
      <c r="C7" s="16"/>
      <c r="D7" s="15"/>
    </row>
    <row r="9" spans="1:10" ht="15.5" x14ac:dyDescent="0.35">
      <c r="A9" s="14" t="s">
        <v>133</v>
      </c>
    </row>
    <row r="10" spans="1:10" ht="31.5" customHeight="1" x14ac:dyDescent="0.35">
      <c r="A10" s="5" t="s">
        <v>97</v>
      </c>
      <c r="B10" s="5" t="s">
        <v>17</v>
      </c>
      <c r="C10" s="5" t="s">
        <v>99</v>
      </c>
      <c r="D10" s="5" t="s">
        <v>70</v>
      </c>
      <c r="E10" s="5" t="s">
        <v>134</v>
      </c>
      <c r="F10" s="5" t="s">
        <v>135</v>
      </c>
      <c r="G10" s="5" t="s">
        <v>136</v>
      </c>
      <c r="H10" s="5" t="s">
        <v>137</v>
      </c>
      <c r="I10" s="5" t="s">
        <v>138</v>
      </c>
    </row>
    <row r="11" spans="1:10" x14ac:dyDescent="0.35">
      <c r="A11" s="17" t="str">
        <f>'4_OPs'!A2</f>
        <v>OP-001</v>
      </c>
      <c r="B11" s="17" t="str">
        <f>'4_OPs'!C2</f>
        <v>Moderna</v>
      </c>
      <c r="C11" s="17">
        <f>'4_OPs'!D2</f>
        <v>40</v>
      </c>
      <c r="D11" s="17" t="str">
        <f>'4_OPs'!E2</f>
        <v>Concluída</v>
      </c>
      <c r="E11" s="18">
        <v>30444</v>
      </c>
      <c r="F11" s="18">
        <v>320</v>
      </c>
      <c r="G11" s="18">
        <v>30764</v>
      </c>
      <c r="H11" s="18">
        <v>769.1</v>
      </c>
      <c r="I11" s="19">
        <v>12.75</v>
      </c>
      <c r="J11" s="6" t="s">
        <v>139</v>
      </c>
    </row>
    <row r="12" spans="1:10" x14ac:dyDescent="0.35">
      <c r="A12" s="17" t="str">
        <f>'4_OPs'!A3</f>
        <v>OP-002</v>
      </c>
      <c r="B12" s="17" t="str">
        <f>'4_OPs'!C3</f>
        <v>Avançada</v>
      </c>
      <c r="C12" s="17">
        <f>'4_OPs'!D3</f>
        <v>12</v>
      </c>
      <c r="D12" s="17" t="str">
        <f>'4_OPs'!E3</f>
        <v>Concluída</v>
      </c>
      <c r="E12" s="15"/>
      <c r="F12" s="15"/>
      <c r="G12" s="15"/>
      <c r="H12" s="15"/>
      <c r="I12" s="20"/>
    </row>
    <row r="13" spans="1:10" x14ac:dyDescent="0.35">
      <c r="A13" s="17" t="str">
        <f>'4_OPs'!A4</f>
        <v>OP-003</v>
      </c>
      <c r="B13" s="17" t="str">
        <f>'4_OPs'!C4</f>
        <v>Básica</v>
      </c>
      <c r="C13" s="17">
        <f>'4_OPs'!D4</f>
        <v>40</v>
      </c>
      <c r="D13" s="17" t="str">
        <f>'4_OPs'!E4</f>
        <v>Concluída</v>
      </c>
      <c r="E13" s="15"/>
      <c r="F13" s="15"/>
      <c r="G13" s="15"/>
      <c r="H13" s="15"/>
      <c r="I13" s="20"/>
    </row>
    <row r="14" spans="1:10" x14ac:dyDescent="0.35">
      <c r="A14" s="17" t="str">
        <f>'4_OPs'!A5</f>
        <v>OP-004</v>
      </c>
      <c r="B14" s="17" t="str">
        <f>'4_OPs'!C5</f>
        <v>Básica</v>
      </c>
      <c r="C14" s="17">
        <f>'4_OPs'!D5</f>
        <v>80</v>
      </c>
      <c r="D14" s="17" t="str">
        <f>'4_OPs'!E5</f>
        <v>Concluída</v>
      </c>
      <c r="E14" s="15"/>
      <c r="F14" s="15"/>
      <c r="G14" s="15"/>
      <c r="H14" s="15"/>
      <c r="I14" s="20"/>
    </row>
    <row r="15" spans="1:10" x14ac:dyDescent="0.35">
      <c r="A15" s="17" t="str">
        <f>'4_OPs'!A6</f>
        <v>OP-005</v>
      </c>
      <c r="B15" s="17" t="str">
        <f>'4_OPs'!C6</f>
        <v>Avançada</v>
      </c>
      <c r="C15" s="17">
        <f>'4_OPs'!D6</f>
        <v>5</v>
      </c>
      <c r="D15" s="17" t="str">
        <f>'4_OPs'!E6</f>
        <v>Concluída</v>
      </c>
      <c r="E15" s="15"/>
      <c r="F15" s="15"/>
      <c r="G15" s="15"/>
      <c r="H15" s="15"/>
      <c r="I15" s="20"/>
    </row>
    <row r="16" spans="1:10" x14ac:dyDescent="0.35">
      <c r="A16" s="17" t="str">
        <f>'4_OPs'!A7</f>
        <v>OP-006</v>
      </c>
      <c r="B16" s="17" t="str">
        <f>'4_OPs'!C7</f>
        <v>Básica</v>
      </c>
      <c r="C16" s="17">
        <f>'4_OPs'!D7</f>
        <v>60</v>
      </c>
      <c r="D16" s="17" t="str">
        <f>'4_OPs'!E7</f>
        <v>Concluída</v>
      </c>
      <c r="E16" s="15"/>
      <c r="F16" s="15"/>
      <c r="G16" s="15"/>
      <c r="H16" s="15"/>
      <c r="I16" s="20"/>
    </row>
    <row r="17" spans="1:9" x14ac:dyDescent="0.35">
      <c r="A17" s="17" t="str">
        <f>'4_OPs'!A8</f>
        <v>OP-007</v>
      </c>
      <c r="B17" s="17" t="str">
        <f>'4_OPs'!C8</f>
        <v>Moderna</v>
      </c>
      <c r="C17" s="17">
        <f>'4_OPs'!D8</f>
        <v>20</v>
      </c>
      <c r="D17" s="17" t="str">
        <f>'4_OPs'!E8</f>
        <v>Concluída</v>
      </c>
      <c r="E17" s="15"/>
      <c r="F17" s="15"/>
      <c r="G17" s="15"/>
      <c r="H17" s="15"/>
      <c r="I17" s="20"/>
    </row>
    <row r="18" spans="1:9" x14ac:dyDescent="0.35">
      <c r="A18" s="17" t="str">
        <f>'4_OPs'!A9</f>
        <v>OP-008</v>
      </c>
      <c r="B18" s="17" t="str">
        <f>'4_OPs'!C9</f>
        <v>Moderna</v>
      </c>
      <c r="C18" s="17">
        <f>'4_OPs'!D9</f>
        <v>20</v>
      </c>
      <c r="D18" s="17" t="str">
        <f>'4_OPs'!E9</f>
        <v>Concluída</v>
      </c>
      <c r="E18" s="15"/>
      <c r="F18" s="15"/>
      <c r="G18" s="15"/>
      <c r="H18" s="15"/>
      <c r="I18" s="20"/>
    </row>
    <row r="19" spans="1:9" x14ac:dyDescent="0.35">
      <c r="A19" s="17" t="str">
        <f>'4_OPs'!A10</f>
        <v>OP-009</v>
      </c>
      <c r="B19" s="17" t="str">
        <f>'4_OPs'!C10</f>
        <v>Básica</v>
      </c>
      <c r="C19" s="17">
        <f>'4_OPs'!D10</f>
        <v>40</v>
      </c>
      <c r="D19" s="17" t="str">
        <f>'4_OPs'!E10</f>
        <v>Concluída</v>
      </c>
      <c r="E19" s="15"/>
      <c r="F19" s="15"/>
      <c r="G19" s="15"/>
      <c r="H19" s="15"/>
      <c r="I19" s="20"/>
    </row>
    <row r="20" spans="1:9" x14ac:dyDescent="0.35">
      <c r="A20" s="17" t="str">
        <f>'4_OPs'!A11</f>
        <v>OP-010</v>
      </c>
      <c r="B20" s="17" t="str">
        <f>'4_OPs'!C11</f>
        <v>Moderna</v>
      </c>
      <c r="C20" s="17">
        <f>'4_OPs'!D11</f>
        <v>50</v>
      </c>
      <c r="D20" s="17" t="str">
        <f>'4_OPs'!E11</f>
        <v>Concluída</v>
      </c>
      <c r="E20" s="15"/>
      <c r="F20" s="15"/>
      <c r="G20" s="15"/>
      <c r="H20" s="15"/>
      <c r="I20" s="20"/>
    </row>
    <row r="21" spans="1:9" x14ac:dyDescent="0.35">
      <c r="A21" s="17" t="str">
        <f>'4_OPs'!A12</f>
        <v>OP-011</v>
      </c>
      <c r="B21" s="17" t="str">
        <f>'4_OPs'!C12</f>
        <v>Avançada</v>
      </c>
      <c r="C21" s="17">
        <f>'4_OPs'!D12</f>
        <v>15</v>
      </c>
      <c r="D21" s="17" t="str">
        <f>'4_OPs'!E12</f>
        <v>Concluída</v>
      </c>
      <c r="E21" s="15"/>
      <c r="F21" s="15"/>
      <c r="G21" s="15"/>
      <c r="H21" s="15"/>
      <c r="I21" s="20"/>
    </row>
    <row r="22" spans="1:9" x14ac:dyDescent="0.35">
      <c r="A22" s="17" t="str">
        <f>'4_OPs'!A13</f>
        <v>OP-012</v>
      </c>
      <c r="B22" s="17" t="str">
        <f>'4_OPs'!C13</f>
        <v>Básica</v>
      </c>
      <c r="C22" s="17">
        <f>'4_OPs'!D13</f>
        <v>150</v>
      </c>
      <c r="D22" s="17" t="str">
        <f>'4_OPs'!E13</f>
        <v>Concluída</v>
      </c>
      <c r="E22" s="15"/>
      <c r="F22" s="15"/>
      <c r="G22" s="15"/>
      <c r="H22" s="15"/>
      <c r="I22" s="20"/>
    </row>
    <row r="23" spans="1:9" x14ac:dyDescent="0.35">
      <c r="A23" s="17" t="str">
        <f>'4_OPs'!A14</f>
        <v>OP-013</v>
      </c>
      <c r="B23" s="17" t="str">
        <f>'4_OPs'!C14</f>
        <v>Moderna</v>
      </c>
      <c r="C23" s="17">
        <f>'4_OPs'!D14</f>
        <v>20</v>
      </c>
      <c r="D23" s="17" t="str">
        <f>'4_OPs'!E14</f>
        <v>Concluída</v>
      </c>
      <c r="E23" s="15"/>
      <c r="F23" s="15"/>
      <c r="G23" s="15"/>
      <c r="H23" s="15"/>
      <c r="I23" s="20"/>
    </row>
    <row r="24" spans="1:9" x14ac:dyDescent="0.35">
      <c r="A24" s="17" t="str">
        <f>'4_OPs'!A15</f>
        <v>OP-014</v>
      </c>
      <c r="B24" s="17" t="str">
        <f>'4_OPs'!C15</f>
        <v>Avançada</v>
      </c>
      <c r="C24" s="17">
        <f>'4_OPs'!D15</f>
        <v>15</v>
      </c>
      <c r="D24" s="17" t="str">
        <f>'4_OPs'!E15</f>
        <v>Concluída</v>
      </c>
      <c r="E24" s="15"/>
      <c r="F24" s="15"/>
      <c r="G24" s="15"/>
      <c r="H24" s="15"/>
      <c r="I24" s="20"/>
    </row>
    <row r="25" spans="1:9" x14ac:dyDescent="0.35">
      <c r="A25" s="17" t="str">
        <f>'4_OPs'!A16</f>
        <v>OP-015</v>
      </c>
      <c r="B25" s="17" t="str">
        <f>'4_OPs'!C16</f>
        <v>Básica</v>
      </c>
      <c r="C25" s="17">
        <f>'4_OPs'!D16</f>
        <v>40</v>
      </c>
      <c r="D25" s="17" t="str">
        <f>'4_OPs'!E16</f>
        <v>Concluída</v>
      </c>
      <c r="E25" s="15"/>
      <c r="F25" s="15"/>
      <c r="G25" s="15"/>
      <c r="H25" s="15"/>
      <c r="I25" s="20"/>
    </row>
    <row r="26" spans="1:9" x14ac:dyDescent="0.35">
      <c r="A26" s="17" t="str">
        <f>'4_OPs'!A17</f>
        <v>OP-016</v>
      </c>
      <c r="B26" s="17" t="str">
        <f>'4_OPs'!C17</f>
        <v>Básica</v>
      </c>
      <c r="C26" s="17">
        <f>'4_OPs'!D17</f>
        <v>120</v>
      </c>
      <c r="D26" s="17" t="str">
        <f>'4_OPs'!E17</f>
        <v>Concluída</v>
      </c>
      <c r="E26" s="15"/>
      <c r="F26" s="15"/>
      <c r="G26" s="15"/>
      <c r="H26" s="15"/>
      <c r="I26" s="20"/>
    </row>
    <row r="27" spans="1:9" x14ac:dyDescent="0.35">
      <c r="A27" s="17" t="str">
        <f>'4_OPs'!A18</f>
        <v>OP-017</v>
      </c>
      <c r="B27" s="17" t="str">
        <f>'4_OPs'!C18</f>
        <v>Avançada</v>
      </c>
      <c r="C27" s="17">
        <f>'4_OPs'!D18</f>
        <v>10</v>
      </c>
      <c r="D27" s="17" t="str">
        <f>'4_OPs'!E18</f>
        <v>Em andamento</v>
      </c>
      <c r="E27" s="15"/>
      <c r="F27" s="15"/>
      <c r="G27" s="15"/>
      <c r="H27" s="15"/>
      <c r="I27" s="20"/>
    </row>
    <row r="28" spans="1:9" x14ac:dyDescent="0.35">
      <c r="A28" s="17" t="str">
        <f>'4_OPs'!A19</f>
        <v>OP-018</v>
      </c>
      <c r="B28" s="17" t="str">
        <f>'4_OPs'!C19</f>
        <v>Básica</v>
      </c>
      <c r="C28" s="17">
        <f>'4_OPs'!D19</f>
        <v>60</v>
      </c>
      <c r="D28" s="17" t="str">
        <f>'4_OPs'!E19</f>
        <v>Em andamento</v>
      </c>
      <c r="E28" s="15"/>
      <c r="F28" s="15"/>
      <c r="G28" s="15"/>
      <c r="H28" s="15"/>
      <c r="I28" s="20"/>
    </row>
    <row r="29" spans="1:9" x14ac:dyDescent="0.35">
      <c r="A29" s="17" t="str">
        <f>'4_OPs'!A20</f>
        <v>OP-019</v>
      </c>
      <c r="B29" s="17" t="str">
        <f>'4_OPs'!C20</f>
        <v>Moderna</v>
      </c>
      <c r="C29" s="17">
        <f>'4_OPs'!D20</f>
        <v>20</v>
      </c>
      <c r="D29" s="17" t="str">
        <f>'4_OPs'!E20</f>
        <v>Planejada</v>
      </c>
      <c r="E29" s="15"/>
      <c r="F29" s="15"/>
      <c r="G29" s="15"/>
      <c r="H29" s="15"/>
      <c r="I29" s="20"/>
    </row>
    <row r="30" spans="1:9" x14ac:dyDescent="0.35">
      <c r="A30" s="17" t="str">
        <f>'4_OPs'!A21</f>
        <v>OP-020</v>
      </c>
      <c r="B30" s="17" t="str">
        <f>'4_OPs'!C21</f>
        <v>Moderna</v>
      </c>
      <c r="C30" s="17">
        <f>'4_OPs'!D21</f>
        <v>60</v>
      </c>
      <c r="D30" s="17" t="str">
        <f>'4_OPs'!E21</f>
        <v>Planejada</v>
      </c>
      <c r="E30" s="15"/>
      <c r="F30" s="15"/>
      <c r="G30" s="15"/>
      <c r="H30" s="15"/>
      <c r="I30" s="20"/>
    </row>
    <row r="31" spans="1:9" x14ac:dyDescent="0.35">
      <c r="A31" s="17" t="str">
        <f>'4_OPs'!A22</f>
        <v>OP-021</v>
      </c>
      <c r="B31" s="17" t="str">
        <f>'4_OPs'!C22</f>
        <v>Básica</v>
      </c>
      <c r="C31" s="17">
        <f>'4_OPs'!D22</f>
        <v>40</v>
      </c>
      <c r="D31" s="17" t="str">
        <f>'4_OPs'!E22</f>
        <v>Planejada</v>
      </c>
      <c r="E31" s="15"/>
      <c r="F31" s="15"/>
      <c r="G31" s="15"/>
      <c r="H31" s="15"/>
      <c r="I31" s="20"/>
    </row>
    <row r="32" spans="1:9" x14ac:dyDescent="0.35">
      <c r="A32" s="17" t="str">
        <f>'4_OPs'!A23</f>
        <v>OP-022</v>
      </c>
      <c r="B32" s="17" t="str">
        <f>'4_OPs'!C23</f>
        <v>Moderna</v>
      </c>
      <c r="C32" s="17">
        <f>'4_OPs'!D23</f>
        <v>60</v>
      </c>
      <c r="D32" s="17" t="str">
        <f>'4_OPs'!E23</f>
        <v>Planejada</v>
      </c>
      <c r="E32" s="15"/>
      <c r="F32" s="15"/>
      <c r="G32" s="15"/>
      <c r="H32" s="15"/>
      <c r="I32" s="20"/>
    </row>
    <row r="33" spans="1:9" x14ac:dyDescent="0.35">
      <c r="A33" s="17" t="str">
        <f>'4_OPs'!A24</f>
        <v>OP-023</v>
      </c>
      <c r="B33" s="17" t="str">
        <f>'4_OPs'!C24</f>
        <v>Avançada</v>
      </c>
      <c r="C33" s="17">
        <f>'4_OPs'!D24</f>
        <v>10</v>
      </c>
      <c r="D33" s="17" t="str">
        <f>'4_OPs'!E24</f>
        <v>Planejada</v>
      </c>
      <c r="E33" s="15"/>
      <c r="F33" s="15"/>
      <c r="G33" s="15"/>
      <c r="H33" s="15"/>
      <c r="I33" s="20"/>
    </row>
    <row r="34" spans="1:9" x14ac:dyDescent="0.35">
      <c r="A34" s="17" t="str">
        <f>'4_OPs'!A25</f>
        <v>OP-024</v>
      </c>
      <c r="B34" s="17" t="str">
        <f>'4_OPs'!C25</f>
        <v>Avançada</v>
      </c>
      <c r="C34" s="17">
        <f>'4_OPs'!D25</f>
        <v>20</v>
      </c>
      <c r="D34" s="17" t="str">
        <f>'4_OPs'!E25</f>
        <v>Planejada</v>
      </c>
      <c r="E34" s="15"/>
      <c r="F34" s="15"/>
      <c r="G34" s="15"/>
      <c r="H34" s="15"/>
      <c r="I34" s="20"/>
    </row>
    <row r="36" spans="1:9" ht="15.5" x14ac:dyDescent="0.35">
      <c r="A36" s="14" t="s">
        <v>140</v>
      </c>
    </row>
    <row r="37" spans="1:9" ht="31.5" customHeight="1" x14ac:dyDescent="0.35">
      <c r="A37" s="5" t="s">
        <v>17</v>
      </c>
      <c r="B37" s="5" t="s">
        <v>141</v>
      </c>
      <c r="C37" s="5" t="s">
        <v>142</v>
      </c>
      <c r="D37" s="5" t="s">
        <v>136</v>
      </c>
      <c r="E37" s="5" t="s">
        <v>143</v>
      </c>
      <c r="F37" s="5" t="s">
        <v>144</v>
      </c>
    </row>
    <row r="38" spans="1:9" x14ac:dyDescent="0.35">
      <c r="A38" s="7" t="s">
        <v>23</v>
      </c>
      <c r="B38" s="16"/>
      <c r="C38" s="16"/>
      <c r="D38" s="15"/>
      <c r="E38" s="15"/>
      <c r="F38" s="21"/>
    </row>
    <row r="39" spans="1:9" x14ac:dyDescent="0.35">
      <c r="A39" s="7" t="s">
        <v>27</v>
      </c>
      <c r="B39" s="16"/>
      <c r="C39" s="16"/>
      <c r="D39" s="15"/>
      <c r="E39" s="15"/>
      <c r="F39" s="21"/>
    </row>
    <row r="40" spans="1:9" x14ac:dyDescent="0.35">
      <c r="A40" s="7" t="s">
        <v>31</v>
      </c>
      <c r="B40" s="16"/>
      <c r="C40" s="16"/>
      <c r="D40" s="15"/>
      <c r="E40" s="15"/>
      <c r="F40" s="21"/>
    </row>
    <row r="43" spans="1:9" ht="15.5" x14ac:dyDescent="0.35">
      <c r="A43" s="14" t="s">
        <v>145</v>
      </c>
    </row>
    <row r="44" spans="1:9" x14ac:dyDescent="0.35">
      <c r="A44" s="1"/>
      <c r="B44" s="1"/>
      <c r="C44" s="1"/>
      <c r="D44" s="1"/>
      <c r="E44" s="1"/>
      <c r="F44" s="1"/>
      <c r="G44" s="1"/>
      <c r="H44" s="1"/>
      <c r="I44" s="1"/>
    </row>
    <row r="45" spans="1:9" x14ac:dyDescent="0.35">
      <c r="A45" s="1"/>
      <c r="B45" s="1"/>
      <c r="C45" s="1"/>
      <c r="D45" s="1"/>
      <c r="E45" s="1"/>
      <c r="F45" s="1"/>
      <c r="G45" s="1"/>
      <c r="H45" s="1"/>
      <c r="I45" s="1"/>
    </row>
    <row r="46" spans="1:9" x14ac:dyDescent="0.35">
      <c r="A46" s="1"/>
      <c r="B46" s="1"/>
      <c r="C46" s="1"/>
      <c r="D46" s="1"/>
      <c r="E46" s="1"/>
      <c r="F46" s="1"/>
      <c r="G46" s="1"/>
      <c r="H46" s="1"/>
      <c r="I46" s="1"/>
    </row>
    <row r="47" spans="1:9" x14ac:dyDescent="0.35">
      <c r="A47" s="1"/>
      <c r="B47" s="1"/>
      <c r="C47" s="1"/>
      <c r="D47" s="1"/>
      <c r="E47" s="1"/>
      <c r="F47" s="1"/>
      <c r="G47" s="1"/>
      <c r="H47" s="1"/>
      <c r="I47" s="1"/>
    </row>
    <row r="48" spans="1:9" x14ac:dyDescent="0.35">
      <c r="A48" s="1"/>
      <c r="B48" s="1"/>
      <c r="C48" s="1"/>
      <c r="D48" s="1"/>
      <c r="E48" s="1"/>
      <c r="F48" s="1"/>
      <c r="G48" s="1"/>
      <c r="H48" s="1"/>
      <c r="I48" s="1"/>
    </row>
    <row r="49" spans="1:9" x14ac:dyDescent="0.35">
      <c r="A49" s="1"/>
      <c r="B49" s="1"/>
      <c r="C49" s="1"/>
      <c r="D49" s="1"/>
      <c r="E49" s="1"/>
      <c r="F49" s="1"/>
      <c r="G49" s="1"/>
      <c r="H49" s="1"/>
      <c r="I49" s="1"/>
    </row>
  </sheetData>
  <mergeCells count="1">
    <mergeCell ref="A44:I49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0_Enunciado</vt:lpstr>
      <vt:lpstr>1_Custos</vt:lpstr>
      <vt:lpstr>2_Setup</vt:lpstr>
      <vt:lpstr>3_Fornecedores</vt:lpstr>
      <vt:lpstr>4_OPs</vt:lpstr>
      <vt:lpstr>5_Respostas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Antonio Jose Honorio Pereira</cp:lastModifiedBy>
  <cp:revision>0</cp:revision>
  <dcterms:created xsi:type="dcterms:W3CDTF">2026-10-08T19:48:37Z</dcterms:created>
  <dcterms:modified xsi:type="dcterms:W3CDTF">2026-10-08T19:51:13Z</dcterms:modified>
  <dc:language>en-US</dc:language>
</cp:coreProperties>
</file>