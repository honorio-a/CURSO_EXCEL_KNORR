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2_EXCEL\"/>
    </mc:Choice>
  </mc:AlternateContent>
  <xr:revisionPtr revIDLastSave="0" documentId="13_ncr:1_{6D3190D0-8C80-458F-9365-C993D3F324DF}" xr6:coauthVersionLast="47" xr6:coauthVersionMax="47" xr10:uidLastSave="{00000000-0000-0000-0000-000000000000}"/>
  <bookViews>
    <workbookView xWindow="-110" yWindow="-110" windowWidth="19420" windowHeight="10300" firstSheet="6" activeTab="7" xr2:uid="{C08D81F0-B685-48A3-9B55-1E577511BFDE}"/>
  </bookViews>
  <sheets>
    <sheet name="juntar texto_formatar numeros" sheetId="1" r:id="rId1"/>
    <sheet name="EXTRAIR_SOMA_SUB (2)" sheetId="4" r:id="rId2"/>
    <sheet name="EXTRAIR_SOMA_SUB (3)" sheetId="5" r:id="rId3"/>
    <sheet name="EXTRAIR_SOMA_SUB" sheetId="3" r:id="rId4"/>
    <sheet name="MEDIA_MAX_MIN" sheetId="6" r:id="rId5"/>
    <sheet name="REF_REL_ABS" sheetId="7" r:id="rId6"/>
    <sheet name="dados_logistica_processos" sheetId="9" r:id="rId7"/>
    <sheet name="planilha_contagens_50_entradas" sheetId="10" r:id="rId8"/>
    <sheet name="CONT_CONTSE" sheetId="8" r:id="rId9"/>
  </sheets>
  <definedNames>
    <definedName name="DadosExternos_1" localSheetId="6" hidden="1">dados_logistica_processos!$A$1:$J$203</definedName>
    <definedName name="DadosExternos_1" localSheetId="7" hidden="1">planilha_contagens_50_entradas!$A$1:$H$51</definedName>
    <definedName name="DESCONTO" comment="MEU DESCONTO PARA PRODUTOS ">REF_REL_ABS!$F$1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4" i="10" l="1"/>
  <c r="J15" i="10"/>
  <c r="J20" i="10"/>
  <c r="J19" i="10"/>
  <c r="J11" i="10"/>
  <c r="J16" i="10"/>
  <c r="J9" i="10"/>
  <c r="J7" i="10"/>
  <c r="J5" i="10"/>
  <c r="J2" i="10"/>
  <c r="P11" i="9"/>
  <c r="Q2" i="9"/>
  <c r="P2" i="9"/>
  <c r="M3" i="9"/>
  <c r="M4" i="9"/>
  <c r="M5" i="9"/>
  <c r="M6" i="9"/>
  <c r="M7" i="9"/>
  <c r="M2" i="9"/>
  <c r="I4" i="7"/>
  <c r="I5" i="7"/>
  <c r="I6" i="7"/>
  <c r="I7" i="7"/>
  <c r="I8" i="7"/>
  <c r="I9" i="7"/>
  <c r="I10" i="7"/>
  <c r="I11" i="7"/>
  <c r="I12" i="7"/>
  <c r="I13" i="7"/>
  <c r="I14" i="7"/>
  <c r="I3" i="7"/>
  <c r="G4" i="7"/>
  <c r="G5" i="7"/>
  <c r="G6" i="7"/>
  <c r="G7" i="7"/>
  <c r="G8" i="7"/>
  <c r="G9" i="7"/>
  <c r="G10" i="7"/>
  <c r="G11" i="7"/>
  <c r="G12" i="7"/>
  <c r="G13" i="7"/>
  <c r="G14" i="7"/>
  <c r="G3" i="7"/>
  <c r="E17" i="7"/>
  <c r="E16" i="7"/>
  <c r="E14" i="7"/>
  <c r="E17" i="6"/>
  <c r="E16" i="6"/>
  <c r="E14" i="6"/>
  <c r="H13" i="6"/>
  <c r="G13" i="6"/>
  <c r="F13" i="6"/>
  <c r="H12" i="6"/>
  <c r="F12" i="6"/>
  <c r="G12" i="6" s="1"/>
  <c r="H11" i="6"/>
  <c r="F11" i="6"/>
  <c r="G11" i="6" s="1"/>
  <c r="H10" i="6"/>
  <c r="F10" i="6"/>
  <c r="G10" i="6" s="1"/>
  <c r="H9" i="6"/>
  <c r="G9" i="6"/>
  <c r="F9" i="6"/>
  <c r="H8" i="6"/>
  <c r="F8" i="6"/>
  <c r="G8" i="6" s="1"/>
  <c r="H7" i="6"/>
  <c r="F7" i="6"/>
  <c r="G7" i="6" s="1"/>
  <c r="H6" i="6"/>
  <c r="F6" i="6"/>
  <c r="G6" i="6" s="1"/>
  <c r="H5" i="6"/>
  <c r="G5" i="6"/>
  <c r="F5" i="6"/>
  <c r="H4" i="6"/>
  <c r="F4" i="6"/>
  <c r="G4" i="6" s="1"/>
  <c r="H3" i="6"/>
  <c r="H14" i="6" s="1"/>
  <c r="F3" i="6"/>
  <c r="F14" i="6" s="1"/>
  <c r="F14" i="4"/>
  <c r="G14" i="4"/>
  <c r="H14" i="4"/>
  <c r="H4" i="4"/>
  <c r="H5" i="4"/>
  <c r="H6" i="4"/>
  <c r="H7" i="4"/>
  <c r="H8" i="4"/>
  <c r="H9" i="4"/>
  <c r="H10" i="4"/>
  <c r="H11" i="4"/>
  <c r="H12" i="4"/>
  <c r="H13" i="4"/>
  <c r="H3" i="4"/>
  <c r="G4" i="4"/>
  <c r="G5" i="4"/>
  <c r="G6" i="4"/>
  <c r="G7" i="4"/>
  <c r="G8" i="4"/>
  <c r="G9" i="4"/>
  <c r="G10" i="4"/>
  <c r="G11" i="4"/>
  <c r="G12" i="4"/>
  <c r="G13" i="4"/>
  <c r="G3" i="4"/>
  <c r="F4" i="4"/>
  <c r="F5" i="4"/>
  <c r="F6" i="4"/>
  <c r="F7" i="4"/>
  <c r="F8" i="4"/>
  <c r="F9" i="4"/>
  <c r="F10" i="4"/>
  <c r="F11" i="4"/>
  <c r="F12" i="4"/>
  <c r="F13" i="4"/>
  <c r="F3" i="4"/>
  <c r="E14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G3" i="6" l="1"/>
  <c r="G1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B76847-9E61-4755-8128-4DCDCB2B425A}" keepAlive="1" name="Consulta - dados_logistica_processos" description="Conexão com a consulta 'dados_logistica_processos' na pasta de trabalho." type="5" refreshedVersion="8" background="1" saveData="1">
    <dbPr connection="Provider=Microsoft.Mashup.OleDb.1;Data Source=$Workbook$;Location=dados_logistica_processos;Extended Properties=&quot;&quot;" command="SELECT * FROM [dados_logistica_processos]"/>
  </connection>
  <connection id="2" xr16:uid="{5E352A38-52B9-4727-8C53-973F895D3454}" keepAlive="1" name="Consulta - EXTRAIR_SOMA_SUB" description="Conexão com a consulta 'EXTRAIR_SOMA_SUB' na pasta de trabalho." type="5" refreshedVersion="0" background="1">
    <dbPr connection="Provider=Microsoft.Mashup.OleDb.1;Data Source=$Workbook$;Location=EXTRAIR_SOMA_SUB;Extended Properties=&quot;&quot;" command="SELECT * FROM [EXTRAIR_SOMA_SUB]"/>
  </connection>
  <connection id="3" xr16:uid="{E0963457-2528-4547-AF0D-AE63DED906C1}" keepAlive="1" name="Consulta - EXTRAIR_SOMA_SUB (2)" description="Conexão com a consulta 'EXTRAIR_SOMA_SUB (2)' na pasta de trabalho." type="5" refreshedVersion="0" background="1">
    <dbPr connection="Provider=Microsoft.Mashup.OleDb.1;Data Source=$Workbook$;Location=&quot;EXTRAIR_SOMA_SUB (2)&quot;;Extended Properties=&quot;&quot;" command="SELECT * FROM [EXTRAIR_SOMA_SUB (2)]"/>
  </connection>
  <connection id="4" xr16:uid="{181FD3FB-EF4D-4D12-A973-AD1E7AC95D65}" keepAlive="1" name="Consulta - planilha_contagens_50_entradas" description="Conexão com a consulta 'planilha_contagens_50_entradas' na pasta de trabalho." type="5" refreshedVersion="8" background="1" saveData="1">
    <dbPr connection="Provider=Microsoft.Mashup.OleDb.1;Data Source=$Workbook$;Location=planilha_contagens_50_entradas;Extended Properties=&quot;&quot;" command="SELECT * FROM [planilha_contagens_50_entradas]"/>
  </connection>
</connections>
</file>

<file path=xl/sharedStrings.xml><?xml version="1.0" encoding="utf-8"?>
<sst xmlns="http://schemas.openxmlformats.org/spreadsheetml/2006/main" count="1432" uniqueCount="433">
  <si>
    <t>Telefone</t>
  </si>
  <si>
    <t xml:space="preserve"> Nome</t>
  </si>
  <si>
    <t xml:space="preserve"> Sobrenome</t>
  </si>
  <si>
    <t xml:space="preserve"> Email</t>
  </si>
  <si>
    <t xml:space="preserve"> Edson</t>
  </si>
  <si>
    <t xml:space="preserve"> Cavalcante Junior</t>
  </si>
  <si>
    <t xml:space="preserve"> edson@ninjadoexcel.com.br</t>
  </si>
  <si>
    <t xml:space="preserve"> Maria</t>
  </si>
  <si>
    <t xml:space="preserve"> Souza</t>
  </si>
  <si>
    <t xml:space="preserve"> maria@ninjadoexcel.com.br</t>
  </si>
  <si>
    <t xml:space="preserve"> Joana</t>
  </si>
  <si>
    <t xml:space="preserve"> Mália</t>
  </si>
  <si>
    <t xml:space="preserve"> joana@teste.com.br</t>
  </si>
  <si>
    <t xml:space="preserve"> Ana</t>
  </si>
  <si>
    <t xml:space="preserve"> Clécia</t>
  </si>
  <si>
    <t xml:space="preserve"> ana@gmail.com</t>
  </si>
  <si>
    <t xml:space="preserve"> das Graças Junior</t>
  </si>
  <si>
    <t xml:space="preserve"> maria@hotmail.com</t>
  </si>
  <si>
    <t xml:space="preserve"> Maicon</t>
  </si>
  <si>
    <t xml:space="preserve"> Paulino</t>
  </si>
  <si>
    <t xml:space="preserve"> maicon@bol.com.br</t>
  </si>
  <si>
    <t xml:space="preserve"> Jean</t>
  </si>
  <si>
    <t xml:space="preserve"> Cavalcante</t>
  </si>
  <si>
    <t xml:space="preserve"> jean@ig.com.br</t>
  </si>
  <si>
    <t xml:space="preserve"> Maitê</t>
  </si>
  <si>
    <t xml:space="preserve"> Mianutti</t>
  </si>
  <si>
    <t xml:space="preserve"> maitê@yahoo.com.br</t>
  </si>
  <si>
    <t xml:space="preserve"> Bianca</t>
  </si>
  <si>
    <t xml:space="preserve"> Machado Junior</t>
  </si>
  <si>
    <t xml:space="preserve"> bianca@ymail.com</t>
  </si>
  <si>
    <t xml:space="preserve"> Henrique</t>
  </si>
  <si>
    <t xml:space="preserve"> Lima</t>
  </si>
  <si>
    <t xml:space="preserve"> henrique@ninjadoexcel.com.br</t>
  </si>
  <si>
    <t xml:space="preserve"> Amanda</t>
  </si>
  <si>
    <t xml:space="preserve"> Teixeira</t>
  </si>
  <si>
    <t xml:space="preserve"> amanda@ninjadoexcel.com.br</t>
  </si>
  <si>
    <t xml:space="preserve"> Gisele</t>
  </si>
  <si>
    <t xml:space="preserve"> Amorin</t>
  </si>
  <si>
    <t xml:space="preserve"> gisele@ninjadoexcel.com.br</t>
  </si>
  <si>
    <t xml:space="preserve"> Mayara</t>
  </si>
  <si>
    <t xml:space="preserve"> Rondon Junior</t>
  </si>
  <si>
    <t xml:space="preserve"> mayara@ninjadoexcel.com.br</t>
  </si>
  <si>
    <t xml:space="preserve"> Natália</t>
  </si>
  <si>
    <t xml:space="preserve"> Bernardes</t>
  </si>
  <si>
    <t xml:space="preserve"> natália@ninjadoexcel.com.br</t>
  </si>
  <si>
    <t xml:space="preserve"> Letícia</t>
  </si>
  <si>
    <t xml:space="preserve"> Barros</t>
  </si>
  <si>
    <t xml:space="preserve"> letícia@ninjadoexcel.com.br</t>
  </si>
  <si>
    <t xml:space="preserve"> Fernanda</t>
  </si>
  <si>
    <t xml:space="preserve"> Emboaba Junior</t>
  </si>
  <si>
    <t xml:space="preserve"> fernanda@ninjadoexcel.com.br</t>
  </si>
  <si>
    <t xml:space="preserve"> Joyce</t>
  </si>
  <si>
    <t xml:space="preserve"> Gazizi</t>
  </si>
  <si>
    <t xml:space="preserve"> joyce@ninjadoexcel.com.br</t>
  </si>
  <si>
    <t xml:space="preserve"> Helton</t>
  </si>
  <si>
    <t xml:space="preserve"> Oliveira</t>
  </si>
  <si>
    <t xml:space="preserve"> helton@ninjadoexcel.com.br</t>
  </si>
  <si>
    <t xml:space="preserve"> Marcio</t>
  </si>
  <si>
    <t xml:space="preserve"> Alencar</t>
  </si>
  <si>
    <t xml:space="preserve"> marcio@ninjadoexcel.com.br</t>
  </si>
  <si>
    <t xml:space="preserve"> Marcus</t>
  </si>
  <si>
    <t xml:space="preserve"> Machado</t>
  </si>
  <si>
    <t xml:space="preserve"> marcus@ninjadoexcel.com.br</t>
  </si>
  <si>
    <t xml:space="preserve"> Gilmar</t>
  </si>
  <si>
    <t xml:space="preserve"> Neves Junior</t>
  </si>
  <si>
    <t xml:space="preserve"> gilmar@ninjadoexcel.com.br</t>
  </si>
  <si>
    <t xml:space="preserve"> Fabiana</t>
  </si>
  <si>
    <t xml:space="preserve"> Costa</t>
  </si>
  <si>
    <t xml:space="preserve"> fabiana@ymail.com</t>
  </si>
  <si>
    <t xml:space="preserve"> Fátima</t>
  </si>
  <si>
    <t xml:space="preserve"> Silva</t>
  </si>
  <si>
    <t xml:space="preserve"> fátima@ninjadoexcel.com.br</t>
  </si>
  <si>
    <t xml:space="preserve"> Rodrigo</t>
  </si>
  <si>
    <t xml:space="preserve"> Jorge</t>
  </si>
  <si>
    <t xml:space="preserve"> rodrigo@ninjadoexcel.com.br</t>
  </si>
  <si>
    <t>jeito 1 (concatenar)</t>
  </si>
  <si>
    <t>jeito 2 (&amp; + " ")</t>
  </si>
  <si>
    <t/>
  </si>
  <si>
    <t>| Produto | Valor |</t>
  </si>
  <si>
    <t>|---|---|</t>
  </si>
  <si>
    <t>| Mesa | R$ 700,00 |</t>
  </si>
  <si>
    <t>| Cadeira | R$ 200,00 |</t>
  </si>
  <si>
    <t>| Sofá | R$ 3.000,00 |</t>
  </si>
  <si>
    <t>| Armário | R$ 3.293,00 |</t>
  </si>
  <si>
    <t>| Portas | R$ 980,00 |</t>
  </si>
  <si>
    <t>| Acessórios | R$ 372,00 |</t>
  </si>
  <si>
    <t>| Pratos | R$ 115,00 |</t>
  </si>
  <si>
    <t>| Copos | R$ 79,00 |</t>
  </si>
  <si>
    <t>| Talheres | R$ 59,00 |</t>
  </si>
  <si>
    <t>| Televisão | R$ 6.000,00 |</t>
  </si>
  <si>
    <t>| Computador | R$ 12.000,00 |</t>
  </si>
  <si>
    <t xml:space="preserve"> Produto </t>
  </si>
  <si>
    <t xml:space="preserve"> Valor </t>
  </si>
  <si>
    <t>---</t>
  </si>
  <si>
    <t xml:space="preserve"> Mesa </t>
  </si>
  <si>
    <t xml:space="preserve"> Cadeira </t>
  </si>
  <si>
    <t xml:space="preserve"> Sofá </t>
  </si>
  <si>
    <t xml:space="preserve"> Armário </t>
  </si>
  <si>
    <t xml:space="preserve"> Portas </t>
  </si>
  <si>
    <t xml:space="preserve"> Acessórios </t>
  </si>
  <si>
    <t xml:space="preserve"> Pratos </t>
  </si>
  <si>
    <t xml:space="preserve"> Copos </t>
  </si>
  <si>
    <t xml:space="preserve"> Talheres </t>
  </si>
  <si>
    <t xml:space="preserve"> Televisão </t>
  </si>
  <si>
    <t xml:space="preserve"> Computador </t>
  </si>
  <si>
    <t>SOMA</t>
  </si>
  <si>
    <t>DESCONTO 20%</t>
  </si>
  <si>
    <t xml:space="preserve">VALOR FINAL </t>
  </si>
  <si>
    <t>2º JEITO VALOR DIRETO</t>
  </si>
  <si>
    <t xml:space="preserve">MAXIMO </t>
  </si>
  <si>
    <t>MINIMO</t>
  </si>
  <si>
    <t xml:space="preserve">OUTRO JEITO NOMEANDO A CONSTANTE </t>
  </si>
  <si>
    <t>ID_Processo</t>
  </si>
  <si>
    <t>Etapa_Logistica</t>
  </si>
  <si>
    <t>Linha_Producao</t>
  </si>
  <si>
    <t>Tempo_Ciclo_Min</t>
  </si>
  <si>
    <t>Tempo_Espera_Min</t>
  </si>
  <si>
    <t>Pecas_Produzidas</t>
  </si>
  <si>
    <t>Pecas_Defeituosas</t>
  </si>
  <si>
    <t>Custo_Operacional_R$</t>
  </si>
  <si>
    <t>Gargalo_Identificado</t>
  </si>
  <si>
    <t>Engenheiro_Responsavel</t>
  </si>
  <si>
    <t>Triagem</t>
  </si>
  <si>
    <t>Linha A - Montagem</t>
  </si>
  <si>
    <t>Não</t>
  </si>
  <si>
    <t>Eng. Santos</t>
  </si>
  <si>
    <t>Embalagem (Packing)</t>
  </si>
  <si>
    <t>Célula de Solda</t>
  </si>
  <si>
    <t>Sim</t>
  </si>
  <si>
    <t>Analista Rocha</t>
  </si>
  <si>
    <t>Expedição</t>
  </si>
  <si>
    <t>Célula Robótica 1</t>
  </si>
  <si>
    <t>Sup. Costa</t>
  </si>
  <si>
    <t>Eng. Silva</t>
  </si>
  <si>
    <t>Separação (Picking)</t>
  </si>
  <si>
    <t>Sup. Souza</t>
  </si>
  <si>
    <t>Linha C - Embalagem</t>
  </si>
  <si>
    <t>Armazenagem</t>
  </si>
  <si>
    <t>Linha B - Pintura</t>
  </si>
  <si>
    <t>Transporte</t>
  </si>
  <si>
    <t>Eng. Lima</t>
  </si>
  <si>
    <t>Recebimento</t>
  </si>
  <si>
    <t xml:space="preserve">pergunta : o que o engenheiro santos produziu no total </t>
  </si>
  <si>
    <t xml:space="preserve">calcular media de tempo de ciclo </t>
  </si>
  <si>
    <t xml:space="preserve">achar o maximo e minimo </t>
  </si>
  <si>
    <t xml:space="preserve">achar a quantidade defeituosa so da célula robotica </t>
  </si>
  <si>
    <t xml:space="preserve">constuir um tabela de defeitos por célula </t>
  </si>
  <si>
    <t xml:space="preserve">separar e filtrar os gargalos </t>
  </si>
  <si>
    <t xml:space="preserve">mudar a cor por celula condicional do custo operacional </t>
  </si>
  <si>
    <t>PJI-002</t>
  </si>
  <si>
    <t>PJI-003</t>
  </si>
  <si>
    <t>PJI-004</t>
  </si>
  <si>
    <t>PJI-005</t>
  </si>
  <si>
    <t>PJI-006</t>
  </si>
  <si>
    <t>PJI-007</t>
  </si>
  <si>
    <t>PJI-008</t>
  </si>
  <si>
    <t>PJI-009</t>
  </si>
  <si>
    <t>PJI-010</t>
  </si>
  <si>
    <t>PJI-011</t>
  </si>
  <si>
    <t>PJI-012</t>
  </si>
  <si>
    <t>PJI-013</t>
  </si>
  <si>
    <t>PJI-014</t>
  </si>
  <si>
    <t>PJI-015</t>
  </si>
  <si>
    <t>PJI-016</t>
  </si>
  <si>
    <t>PJI-017</t>
  </si>
  <si>
    <t>PJI-018</t>
  </si>
  <si>
    <t>PJI-019</t>
  </si>
  <si>
    <t>PJI-020</t>
  </si>
  <si>
    <t>PJI-021</t>
  </si>
  <si>
    <t>PJI-022</t>
  </si>
  <si>
    <t>PJI-023</t>
  </si>
  <si>
    <t>PJI-024</t>
  </si>
  <si>
    <t>PJI-025</t>
  </si>
  <si>
    <t>PJI-026</t>
  </si>
  <si>
    <t>PJI-027</t>
  </si>
  <si>
    <t>PJI-028</t>
  </si>
  <si>
    <t>PJI-029</t>
  </si>
  <si>
    <t>PJI-030</t>
  </si>
  <si>
    <t>PJI-031</t>
  </si>
  <si>
    <t>PJI-032</t>
  </si>
  <si>
    <t>PJI-033</t>
  </si>
  <si>
    <t>PJI-034</t>
  </si>
  <si>
    <t>PJI-035</t>
  </si>
  <si>
    <t>PJI-036</t>
  </si>
  <si>
    <t>PJI-037</t>
  </si>
  <si>
    <t>PJI-038</t>
  </si>
  <si>
    <t>PJI-039</t>
  </si>
  <si>
    <t>PJI-040</t>
  </si>
  <si>
    <t>PJI-041</t>
  </si>
  <si>
    <t>PJI-042</t>
  </si>
  <si>
    <t>PJI-043</t>
  </si>
  <si>
    <t>PJI-044</t>
  </si>
  <si>
    <t>PJI-045</t>
  </si>
  <si>
    <t>PJI-046</t>
  </si>
  <si>
    <t>PJI-047</t>
  </si>
  <si>
    <t>PJI-048</t>
  </si>
  <si>
    <t>PJI-049</t>
  </si>
  <si>
    <t>PJI-050</t>
  </si>
  <si>
    <t>PJI-051</t>
  </si>
  <si>
    <t>PJI-052</t>
  </si>
  <si>
    <t>PJI-053</t>
  </si>
  <si>
    <t>PJI-054</t>
  </si>
  <si>
    <t>PJI-055</t>
  </si>
  <si>
    <t>PJI-056</t>
  </si>
  <si>
    <t>PJI-057</t>
  </si>
  <si>
    <t>PJI-058</t>
  </si>
  <si>
    <t>PJI-059</t>
  </si>
  <si>
    <t>PJI-060</t>
  </si>
  <si>
    <t>PJI-061</t>
  </si>
  <si>
    <t>PJI-062</t>
  </si>
  <si>
    <t>PJI-063</t>
  </si>
  <si>
    <t>PJI-064</t>
  </si>
  <si>
    <t>PJI-065</t>
  </si>
  <si>
    <t>PJI-066</t>
  </si>
  <si>
    <t>PJI-067</t>
  </si>
  <si>
    <t>PJI-068</t>
  </si>
  <si>
    <t>PJI-069</t>
  </si>
  <si>
    <t>PJI-070</t>
  </si>
  <si>
    <t>PJI-071</t>
  </si>
  <si>
    <t>PJI-072</t>
  </si>
  <si>
    <t>PJI-073</t>
  </si>
  <si>
    <t>PJI-074</t>
  </si>
  <si>
    <t>PJI-075</t>
  </si>
  <si>
    <t>PJI-076</t>
  </si>
  <si>
    <t>PJI-077</t>
  </si>
  <si>
    <t>PJI-078</t>
  </si>
  <si>
    <t>PJI-079</t>
  </si>
  <si>
    <t>PJI-080</t>
  </si>
  <si>
    <t>PJI-081</t>
  </si>
  <si>
    <t>PJI-082</t>
  </si>
  <si>
    <t>PJI-083</t>
  </si>
  <si>
    <t>PJI-084</t>
  </si>
  <si>
    <t>PJI-085</t>
  </si>
  <si>
    <t>PJI-086</t>
  </si>
  <si>
    <t>PJI-087</t>
  </si>
  <si>
    <t>PJI-088</t>
  </si>
  <si>
    <t>PJI-089</t>
  </si>
  <si>
    <t>PJI-090</t>
  </si>
  <si>
    <t>PJI-091</t>
  </si>
  <si>
    <t>PJI-092</t>
  </si>
  <si>
    <t>PJI-093</t>
  </si>
  <si>
    <t>PJI-094</t>
  </si>
  <si>
    <t>PJI-095</t>
  </si>
  <si>
    <t>PJI-096</t>
  </si>
  <si>
    <t>PJI-097</t>
  </si>
  <si>
    <t>PJI-098</t>
  </si>
  <si>
    <t>PJI-099</t>
  </si>
  <si>
    <t>PJI-100</t>
  </si>
  <si>
    <t>PJI-101</t>
  </si>
  <si>
    <t>PJI-102</t>
  </si>
  <si>
    <t>PJI-103</t>
  </si>
  <si>
    <t>PJI-104</t>
  </si>
  <si>
    <t>PJI-105</t>
  </si>
  <si>
    <t>PJI-106</t>
  </si>
  <si>
    <t>PJI-107</t>
  </si>
  <si>
    <t>PJI-108</t>
  </si>
  <si>
    <t>PJI-109</t>
  </si>
  <si>
    <t>PJI-110</t>
  </si>
  <si>
    <t>PJI-111</t>
  </si>
  <si>
    <t>PJI-112</t>
  </si>
  <si>
    <t>PJI-113</t>
  </si>
  <si>
    <t>PJI-114</t>
  </si>
  <si>
    <t>PJI-115</t>
  </si>
  <si>
    <t>PJI-116</t>
  </si>
  <si>
    <t>PJI-117</t>
  </si>
  <si>
    <t>PJI-118</t>
  </si>
  <si>
    <t>PJI-119</t>
  </si>
  <si>
    <t>PJI-120</t>
  </si>
  <si>
    <t>PJI-121</t>
  </si>
  <si>
    <t>PJI-122</t>
  </si>
  <si>
    <t>PJI-123</t>
  </si>
  <si>
    <t>PJI-124</t>
  </si>
  <si>
    <t>PJI-125</t>
  </si>
  <si>
    <t>PJI-126</t>
  </si>
  <si>
    <t>PJI-127</t>
  </si>
  <si>
    <t>PJI-128</t>
  </si>
  <si>
    <t>PJI-129</t>
  </si>
  <si>
    <t>PJI-130</t>
  </si>
  <si>
    <t>PJI-131</t>
  </si>
  <si>
    <t>PJI-132</t>
  </si>
  <si>
    <t>PJI-133</t>
  </si>
  <si>
    <t>PJI-134</t>
  </si>
  <si>
    <t>PJI-135</t>
  </si>
  <si>
    <t>PJI-136</t>
  </si>
  <si>
    <t>PJI-137</t>
  </si>
  <si>
    <t>PJI-138</t>
  </si>
  <si>
    <t>PJI-139</t>
  </si>
  <si>
    <t>PJI-140</t>
  </si>
  <si>
    <t>PJI-141</t>
  </si>
  <si>
    <t>PJI-142</t>
  </si>
  <si>
    <t>PJI-143</t>
  </si>
  <si>
    <t>PJI-144</t>
  </si>
  <si>
    <t>PJI-145</t>
  </si>
  <si>
    <t>PJI-146</t>
  </si>
  <si>
    <t>PJI-147</t>
  </si>
  <si>
    <t>PJI-148</t>
  </si>
  <si>
    <t>PJI-149</t>
  </si>
  <si>
    <t>PJI-150</t>
  </si>
  <si>
    <t>PJI-151</t>
  </si>
  <si>
    <t>PJI-152</t>
  </si>
  <si>
    <t>PJI-153</t>
  </si>
  <si>
    <t>PJI-154</t>
  </si>
  <si>
    <t>PJI-155</t>
  </si>
  <si>
    <t>PJI-156</t>
  </si>
  <si>
    <t>PJI-157</t>
  </si>
  <si>
    <t>PJI-158</t>
  </si>
  <si>
    <t>PJI-159</t>
  </si>
  <si>
    <t>PJI-160</t>
  </si>
  <si>
    <t>PJI-161</t>
  </si>
  <si>
    <t>PJI-162</t>
  </si>
  <si>
    <t>PJI-163</t>
  </si>
  <si>
    <t>PJI-164</t>
  </si>
  <si>
    <t>PJI-165</t>
  </si>
  <si>
    <t>PJI-166</t>
  </si>
  <si>
    <t>PJI-167</t>
  </si>
  <si>
    <t>PJI-168</t>
  </si>
  <si>
    <t>PJI-169</t>
  </si>
  <si>
    <t>PJI-170</t>
  </si>
  <si>
    <t>PJI-171</t>
  </si>
  <si>
    <t>PJI-172</t>
  </si>
  <si>
    <t>PJI-173</t>
  </si>
  <si>
    <t>PJI-174</t>
  </si>
  <si>
    <t>PJI-175</t>
  </si>
  <si>
    <t>PJI-176</t>
  </si>
  <si>
    <t>PJI-177</t>
  </si>
  <si>
    <t>PJI-178</t>
  </si>
  <si>
    <t>PJI-179</t>
  </si>
  <si>
    <t>PJI-180</t>
  </si>
  <si>
    <t>PJI-181</t>
  </si>
  <si>
    <t>PJI-182</t>
  </si>
  <si>
    <t>PJI-183</t>
  </si>
  <si>
    <t>PJI-184</t>
  </si>
  <si>
    <t>PJI-185</t>
  </si>
  <si>
    <t>PJI-186</t>
  </si>
  <si>
    <t>PJI-187</t>
  </si>
  <si>
    <t>PJI-188</t>
  </si>
  <si>
    <t>PJI-189</t>
  </si>
  <si>
    <t>PJI-190</t>
  </si>
  <si>
    <t>PJI-191</t>
  </si>
  <si>
    <t>PJI-192</t>
  </si>
  <si>
    <t>PJI-193</t>
  </si>
  <si>
    <t>PJI-194</t>
  </si>
  <si>
    <t>PJI-195</t>
  </si>
  <si>
    <t>PJI-196</t>
  </si>
  <si>
    <t>PJI-197</t>
  </si>
  <si>
    <t>PJI-198</t>
  </si>
  <si>
    <t>PJI-199</t>
  </si>
  <si>
    <t>PJI-200</t>
  </si>
  <si>
    <t>PJI-001</t>
  </si>
  <si>
    <t xml:space="preserve">localizar e substituir </t>
  </si>
  <si>
    <t xml:space="preserve">pergunta quantas peças a celula robotica produziu </t>
  </si>
  <si>
    <t xml:space="preserve">e quantos defeitos </t>
  </si>
  <si>
    <t xml:space="preserve">pergunta 2 quantas peças defeituosas foram produzidas pela celula robotica na triagem </t>
  </si>
  <si>
    <t>ID_Pedido</t>
  </si>
  <si>
    <t>Data_Envio</t>
  </si>
  <si>
    <t>Transportadora</t>
  </si>
  <si>
    <t>Regiao_Destino</t>
  </si>
  <si>
    <t>Quantidade_Itens</t>
  </si>
  <si>
    <t>Valor_Frete_RS</t>
  </si>
  <si>
    <t>Dias_Transito</t>
  </si>
  <si>
    <t>Status_Entrega</t>
  </si>
  <si>
    <t>PED-1001</t>
  </si>
  <si>
    <t>FreteCerto</t>
  </si>
  <si>
    <t>Nordeste</t>
  </si>
  <si>
    <t>Entregue</t>
  </si>
  <si>
    <t>PED-1002</t>
  </si>
  <si>
    <t>ExpressoSul</t>
  </si>
  <si>
    <t>Centro-Oeste</t>
  </si>
  <si>
    <t>PED-1003</t>
  </si>
  <si>
    <t>TransRápido</t>
  </si>
  <si>
    <t>Cancelado</t>
  </si>
  <si>
    <t>PED-1004</t>
  </si>
  <si>
    <t>Sudeste</t>
  </si>
  <si>
    <t>PED-1005</t>
  </si>
  <si>
    <t>Atrasado</t>
  </si>
  <si>
    <t>PED-1006</t>
  </si>
  <si>
    <t>Norte</t>
  </si>
  <si>
    <t>PED-1007</t>
  </si>
  <si>
    <t>PED-1008</t>
  </si>
  <si>
    <t>PED-1009</t>
  </si>
  <si>
    <t>Em Rota</t>
  </si>
  <si>
    <t>PED-1010</t>
  </si>
  <si>
    <t>LogBrasil</t>
  </si>
  <si>
    <t>Sul</t>
  </si>
  <si>
    <t>PED-1011</t>
  </si>
  <si>
    <t>PED-1012</t>
  </si>
  <si>
    <t>PED-1013</t>
  </si>
  <si>
    <t>PED-1014</t>
  </si>
  <si>
    <t>PED-1015</t>
  </si>
  <si>
    <t>PED-1016</t>
  </si>
  <si>
    <t>PED-1017</t>
  </si>
  <si>
    <t>PED-1018</t>
  </si>
  <si>
    <t>PED-1019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</si>
  <si>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</si>
  <si>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</si>
  <si>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</si>
  <si>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</si>
  <si>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</si>
  <si>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</si>
  <si>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</si>
  <si>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</si>
  <si>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</si>
  <si>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</si>
  <si>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</si>
  <si>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</si>
  <si>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</si>
  <si>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PED-1033</t>
  </si>
  <si>
    <t>PED-1034</t>
  </si>
  <si>
    <t>PED-1035</t>
  </si>
  <si>
    <t>PED-1036</t>
  </si>
  <si>
    <t>PED-1037</t>
  </si>
  <si>
    <t>PED-1038</t>
  </si>
  <si>
    <t>PED-1039</t>
  </si>
  <si>
    <t>PED-1040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</si>
  <si>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</si>
  <si>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</si>
  <si>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</si>
  <si>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</si>
  <si>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</si>
  <si>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</si>
  <si>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</si>
  <si>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</si>
  <si>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</si>
  <si>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</si>
  <si>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PERGUNTA QUANTOS FRENTE FORAM PARA O NORDESTE</t>
  </si>
  <si>
    <t>PERGUNTA QUANTOS REGISTOS EXISTEM NO REGISTRO</t>
  </si>
  <si>
    <t xml:space="preserve">PERGUNTA QUANTAS CELULAS VAZIAS </t>
  </si>
  <si>
    <t xml:space="preserve">PERGUNTA QUANTAS CELULAS TEM REGISTROS MAIOR QUE 9 </t>
  </si>
  <si>
    <t>MENOR QUE 13</t>
  </si>
  <si>
    <t xml:space="preserve">contar não aceita operadores logicos e/ou </t>
  </si>
  <si>
    <t xml:space="preserve">truques </t>
  </si>
  <si>
    <t xml:space="preserve">TORNAR LETRAS MAIUSCULAS OU MINUSCULAS </t>
  </si>
  <si>
    <t xml:space="preserve">PERGUNTA CONTAR SES AS ENTREGAS FORAM FEITAS ENTRE DUAS FAIXAS Sul E transportadora frete certo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</si>
</sst>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##\-###\-##"/>
    <numFmt numFmtId="165" formatCode="&quot; DESCONTO&quot;\ #%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0" borderId="1" xfId="0" applyNumberFormat="1" applyFont="1" applyBorder="1"/>
    <xf numFmtId="8" fontId="0" fillId="0" borderId="0" xfId="0" applyNumberFormat="1"/>
    <xf numFmtId="165" fontId="0" fillId="3" borderId="0" xfId="0" applyNumberFormat="1" applyFill="1"/>
    <xf numFmtId="3" fontId="0" fillId="0" borderId="0" xfId="0" applyNumberFormat="1"/>
    <xf numFmtId="0" fontId="0" fillId="2" borderId="3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AFF14A2-D06C-40F1-B251-3F53B95EFF2C}" autoFormatId="16" applyNumberFormats="0" applyBorderFormats="0" applyFontFormats="0" applyPatternFormats="0" applyAlignmentFormats="0" applyWidthHeightFormats="0">
  <queryTableRefresh nextId="11">
    <queryTableFields count="10">
      <queryTableField id="1" name="ID_Processo" tableColumnId="1"/>
      <queryTableField id="2" name="Etapa_Logistica" tableColumnId="2"/>
      <queryTableField id="3" name="Linha_Producao" tableColumnId="3"/>
      <queryTableField id="4" name="Tempo_Ciclo_Min" tableColumnId="4"/>
      <queryTableField id="5" name="Tempo_Espera_Min" tableColumnId="5"/>
      <queryTableField id="6" name="Pecas_Produzidas" tableColumnId="6"/>
      <queryTableField id="7" name="Pecas_Defeituosas" tableColumnId="7"/>
      <queryTableField id="8" name="Custo_Operacional_R$" tableColumnId="8"/>
      <queryTableField id="9" name="Gargalo_Identificado" tableColumnId="9"/>
      <queryTableField id="10" name="Engenheiro_Responsave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253F51BA-1FD9-41B3-A037-FD34CD50BE06}" autoFormatId="16" applyNumberFormats="0" applyBorderFormats="0" applyFontFormats="0" applyPatternFormats="0" applyAlignmentFormats="0" applyWidthHeightFormats="0">
  <queryTableRefresh nextId="9">
    <queryTableFields count="8">
      <queryTableField id="1" name="ID_Pedido" tableColumnId="1"/>
      <queryTableField id="2" name="Data_Envio" tableColumnId="2"/>
      <queryTableField id="3" name="Transportadora" tableColumnId="3"/>
      <queryTableField id="4" name="Regiao_Destino" tableColumnId="4"/>
      <queryTableField id="5" name="Quantidade_Itens" tableColumnId="5"/>
      <queryTableField id="6" name="Valor_Frete_RS" tableColumnId="6"/>
      <queryTableField id="7" name="Dias_Transito" tableColumnId="7"/>
      <queryTableField id="8" name="Status_Entreg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04B89F-091D-4F6E-BA41-6125BE46CA4E}" name="dados_logistica_processos" displayName="dados_logistica_processos" ref="A1:J203" tableType="queryTable" totalsRowShown="0">
  <autoFilter ref="A1:J203" xr:uid="{9404B89F-091D-4F6E-BA41-6125BE46CA4E}"/>
  <tableColumns count="10">
    <tableColumn id="1" xr3:uid="{622B855E-8C21-406D-8D9D-1590F52F21FD}" uniqueName="1" name="ID_Processo" queryTableFieldId="1" dataDxfId="14"/>
    <tableColumn id="2" xr3:uid="{E2E1FB10-45FA-47A5-B1E6-FA2DBDE33968}" uniqueName="2" name="Etapa_Logistica" queryTableFieldId="2" dataDxfId="13"/>
    <tableColumn id="3" xr3:uid="{C7ED676B-9B66-45C0-B5F9-E2E25937AB18}" uniqueName="3" name="Linha_Producao" queryTableFieldId="3" dataDxfId="12"/>
    <tableColumn id="4" xr3:uid="{B0AC28EF-18B3-4D92-94C8-A6E08D175FFE}" uniqueName="4" name="Tempo_Ciclo_Min" queryTableFieldId="4"/>
    <tableColumn id="5" xr3:uid="{BB4AA756-3DD5-4D3E-9932-3D24D59D4DCC}" uniqueName="5" name="Tempo_Espera_Min" queryTableFieldId="5"/>
    <tableColumn id="6" xr3:uid="{45067B8D-477C-424B-A33F-E3D2FEAC656E}" uniqueName="6" name="Pecas_Produzidas" queryTableFieldId="6"/>
    <tableColumn id="7" xr3:uid="{8F96AC57-75F4-4C81-839E-3A65660BE3A4}" uniqueName="7" name="Pecas_Defeituosas" queryTableFieldId="7"/>
    <tableColumn id="8" xr3:uid="{238F7FC8-ECC5-495D-854D-A929D026EE1A}" uniqueName="8" name="Custo_Operacional_R$" queryTableFieldId="8" dataDxfId="9"/>
    <tableColumn id="9" xr3:uid="{3FAB0E96-542C-4764-91BC-D00D8667409B}" uniqueName="9" name="Gargalo_Identificado" queryTableFieldId="9" dataDxfId="11"/>
    <tableColumn id="10" xr3:uid="{B9FB65FF-DC5F-4594-A103-A5769D99A7C9}" uniqueName="10" name="Engenheiro_Responsavel" queryTableFieldId="10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5567FF-26DA-4D5A-9948-17DC51AD3B9B}" name="planilha_contagens_50_entradas" displayName="planilha_contagens_50_entradas" ref="A1:H51" tableType="queryTable" totalsRowShown="0">
  <autoFilter ref="A1:H51" xr:uid="{DC5567FF-26DA-4D5A-9948-17DC51AD3B9B}"/>
  <tableColumns count="8">
    <tableColumn id="1" xr3:uid="{0B5520FF-7269-449E-A5FE-82A2A9D9E3B9}" uniqueName="1" name="ID_Pedido" queryTableFieldId="1" dataDxfId="4"/>
    <tableColumn id="2" xr3:uid="{313E9D36-2F69-4658-A5E6-156AFDBF6ABB}" uniqueName="2" name="Data_Envio" queryTableFieldId="2" dataDxfId="3"/>
    <tableColumn id="3" xr3:uid="{F1068E44-57B3-450F-A6B2-2299039A61D5}" uniqueName="3" name="Transportadora" queryTableFieldId="3" dataDxfId="2"/>
    <tableColumn id="4" xr3:uid="{6B92E050-07F7-4D21-A34B-11E4D7959188}" uniqueName="4" name="Regiao_Destino" queryTableFieldId="4" dataDxfId="1"/>
    <tableColumn id="5" xr3:uid="{A2236FD6-8058-49F1-B0D3-13AF5B6CFB51}" uniqueName="5" name="Quantidade_Itens" queryTableFieldId="5"/>
    <tableColumn id="6" xr3:uid="{99FF753B-8CAC-4DFE-A841-9B700BD0CCB7}" uniqueName="6" name="Valor_Frete_RS" queryTableFieldId="6"/>
    <tableColumn id="7" xr3:uid="{686FD861-5C3B-4E68-92BC-CF2DAC314DE0}" uniqueName="7" name="Dias_Transito" queryTableFieldId="7"/>
    <tableColumn id="8" xr3:uid="{071901D8-D5ED-4028-8F30-9996B0F957C9}" uniqueName="8" name="Status_Entrega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07AE-7811-4B7D-B222-B0FC9E1CB67B}">
  <dimension ref="A1:G25"/>
  <sheetViews>
    <sheetView workbookViewId="0">
      <selection activeCell="M5" sqref="M5"/>
    </sheetView>
  </sheetViews>
  <sheetFormatPr defaultRowHeight="14.5" x14ac:dyDescent="0.35"/>
  <cols>
    <col min="1" max="2" width="11.08984375" customWidth="1"/>
    <col min="4" max="4" width="15.54296875" bestFit="1" customWidth="1"/>
    <col min="5" max="5" width="22.08984375" bestFit="1" customWidth="1"/>
    <col min="6" max="6" width="15.54296875" customWidth="1"/>
  </cols>
  <sheetData>
    <row r="1" spans="1:7" x14ac:dyDescent="0.35">
      <c r="A1" t="s">
        <v>0</v>
      </c>
      <c r="C1" t="s">
        <v>1</v>
      </c>
      <c r="D1" t="s">
        <v>2</v>
      </c>
      <c r="E1" t="s">
        <v>75</v>
      </c>
      <c r="F1" t="s">
        <v>76</v>
      </c>
      <c r="G1" t="s">
        <v>3</v>
      </c>
    </row>
    <row r="2" spans="1:7" x14ac:dyDescent="0.35">
      <c r="A2" s="1">
        <v>29837128</v>
      </c>
      <c r="B2" s="1"/>
      <c r="C2" t="s">
        <v>4</v>
      </c>
      <c r="D2" t="s">
        <v>5</v>
      </c>
      <c r="E2" t="str">
        <f>CONCATENATE(C2,D2)</f>
        <v xml:space="preserve"> Edson Cavalcante Junior</v>
      </c>
      <c r="F2" t="str">
        <f>C2&amp;" "&amp;D2</f>
        <v xml:space="preserve"> Edson  Cavalcante Junior</v>
      </c>
      <c r="G2" t="s">
        <v>6</v>
      </c>
    </row>
    <row r="3" spans="1:7" x14ac:dyDescent="0.35">
      <c r="A3" s="1">
        <v>47627172</v>
      </c>
      <c r="B3" s="1"/>
      <c r="C3" t="s">
        <v>7</v>
      </c>
      <c r="D3" t="s">
        <v>8</v>
      </c>
      <c r="E3" t="str">
        <f t="shared" ref="E3:E25" si="0">CONCATENATE(C3,D3)</f>
        <v xml:space="preserve"> Maria Souza</v>
      </c>
      <c r="F3" t="str">
        <f t="shared" ref="F3:F25" si="1">C3&amp;" "&amp;D3</f>
        <v xml:space="preserve"> Maria  Souza</v>
      </c>
      <c r="G3" t="s">
        <v>9</v>
      </c>
    </row>
    <row r="4" spans="1:7" x14ac:dyDescent="0.35">
      <c r="A4" s="1">
        <v>21727372</v>
      </c>
      <c r="B4" s="1"/>
      <c r="C4" t="s">
        <v>10</v>
      </c>
      <c r="D4" t="s">
        <v>11</v>
      </c>
      <c r="E4" t="str">
        <f t="shared" si="0"/>
        <v xml:space="preserve"> Joana Mália</v>
      </c>
      <c r="F4" t="str">
        <f t="shared" si="1"/>
        <v xml:space="preserve"> Joana  Mália</v>
      </c>
      <c r="G4" t="s">
        <v>12</v>
      </c>
    </row>
    <row r="5" spans="1:7" x14ac:dyDescent="0.35">
      <c r="A5" s="1">
        <v>21727831</v>
      </c>
      <c r="B5" s="1"/>
      <c r="C5" t="s">
        <v>13</v>
      </c>
      <c r="D5" t="s">
        <v>14</v>
      </c>
      <c r="E5" t="str">
        <f t="shared" si="0"/>
        <v xml:space="preserve"> Ana Clécia</v>
      </c>
      <c r="F5" t="str">
        <f t="shared" si="1"/>
        <v xml:space="preserve"> Ana  Clécia</v>
      </c>
      <c r="G5" t="s">
        <v>15</v>
      </c>
    </row>
    <row r="6" spans="1:7" x14ac:dyDescent="0.35">
      <c r="A6" s="1">
        <v>37162736</v>
      </c>
      <c r="B6" s="1"/>
      <c r="C6" t="s">
        <v>7</v>
      </c>
      <c r="D6" t="s">
        <v>16</v>
      </c>
      <c r="E6" t="str">
        <f t="shared" si="0"/>
        <v xml:space="preserve"> Maria das Graças Junior</v>
      </c>
      <c r="F6" t="str">
        <f t="shared" si="1"/>
        <v xml:space="preserve"> Maria  das Graças Junior</v>
      </c>
      <c r="G6" t="s">
        <v>17</v>
      </c>
    </row>
    <row r="7" spans="1:7" x14ac:dyDescent="0.35">
      <c r="A7" s="1">
        <v>26716728</v>
      </c>
      <c r="B7" s="1"/>
      <c r="C7" t="s">
        <v>18</v>
      </c>
      <c r="D7" t="s">
        <v>19</v>
      </c>
      <c r="E7" t="str">
        <f t="shared" si="0"/>
        <v xml:space="preserve"> Maicon Paulino</v>
      </c>
      <c r="F7" t="str">
        <f t="shared" si="1"/>
        <v xml:space="preserve"> Maicon  Paulino</v>
      </c>
      <c r="G7" t="s">
        <v>20</v>
      </c>
    </row>
    <row r="8" spans="1:7" x14ac:dyDescent="0.35">
      <c r="A8" s="1">
        <v>20918212</v>
      </c>
      <c r="B8" s="1"/>
      <c r="C8" t="s">
        <v>21</v>
      </c>
      <c r="D8" t="s">
        <v>22</v>
      </c>
      <c r="E8" t="str">
        <f t="shared" si="0"/>
        <v xml:space="preserve"> Jean Cavalcante</v>
      </c>
      <c r="F8" t="str">
        <f t="shared" si="1"/>
        <v xml:space="preserve"> Jean  Cavalcante</v>
      </c>
      <c r="G8" t="s">
        <v>23</v>
      </c>
    </row>
    <row r="9" spans="1:7" x14ac:dyDescent="0.35">
      <c r="A9" s="1">
        <v>29817291</v>
      </c>
      <c r="B9" s="1"/>
      <c r="C9" t="s">
        <v>24</v>
      </c>
      <c r="D9" t="s">
        <v>25</v>
      </c>
      <c r="E9" t="str">
        <f t="shared" si="0"/>
        <v xml:space="preserve"> Maitê Mianutti</v>
      </c>
      <c r="F9" t="str">
        <f t="shared" si="1"/>
        <v xml:space="preserve"> Maitê  Mianutti</v>
      </c>
      <c r="G9" t="s">
        <v>26</v>
      </c>
    </row>
    <row r="10" spans="1:7" x14ac:dyDescent="0.35">
      <c r="A10" s="1">
        <v>20199010</v>
      </c>
      <c r="B10" s="1"/>
      <c r="C10" t="s">
        <v>27</v>
      </c>
      <c r="D10" t="s">
        <v>28</v>
      </c>
      <c r="E10" t="str">
        <f t="shared" si="0"/>
        <v xml:space="preserve"> Bianca Machado Junior</v>
      </c>
      <c r="F10" t="str">
        <f t="shared" si="1"/>
        <v xml:space="preserve"> Bianca  Machado Junior</v>
      </c>
      <c r="G10" t="s">
        <v>29</v>
      </c>
    </row>
    <row r="11" spans="1:7" x14ac:dyDescent="0.35">
      <c r="A11" s="1">
        <v>20091822</v>
      </c>
      <c r="B11" s="1"/>
      <c r="C11" t="s">
        <v>30</v>
      </c>
      <c r="D11" t="s">
        <v>31</v>
      </c>
      <c r="E11" t="str">
        <f t="shared" si="0"/>
        <v xml:space="preserve"> Henrique Lima</v>
      </c>
      <c r="F11" t="str">
        <f t="shared" si="1"/>
        <v xml:space="preserve"> Henrique  Lima</v>
      </c>
      <c r="G11" t="s">
        <v>32</v>
      </c>
    </row>
    <row r="12" spans="1:7" x14ac:dyDescent="0.35">
      <c r="A12" s="1">
        <v>39282811</v>
      </c>
      <c r="B12" s="1"/>
      <c r="C12" t="s">
        <v>33</v>
      </c>
      <c r="D12" t="s">
        <v>34</v>
      </c>
      <c r="E12" t="str">
        <f t="shared" si="0"/>
        <v xml:space="preserve"> Amanda Teixeira</v>
      </c>
      <c r="F12" t="str">
        <f t="shared" si="1"/>
        <v xml:space="preserve"> Amanda  Teixeira</v>
      </c>
      <c r="G12" t="s">
        <v>35</v>
      </c>
    </row>
    <row r="13" spans="1:7" x14ac:dyDescent="0.35">
      <c r="A13" s="1">
        <v>32881212</v>
      </c>
      <c r="B13" s="1"/>
      <c r="C13" t="s">
        <v>36</v>
      </c>
      <c r="D13" t="s">
        <v>37</v>
      </c>
      <c r="E13" t="str">
        <f t="shared" si="0"/>
        <v xml:space="preserve"> Gisele Amorin</v>
      </c>
      <c r="F13" t="str">
        <f t="shared" si="1"/>
        <v xml:space="preserve"> Gisele  Amorin</v>
      </c>
      <c r="G13" t="s">
        <v>38</v>
      </c>
    </row>
    <row r="14" spans="1:7" x14ac:dyDescent="0.35">
      <c r="A14" s="1">
        <v>48837829</v>
      </c>
      <c r="B14" s="1"/>
      <c r="C14" t="s">
        <v>39</v>
      </c>
      <c r="D14" t="s">
        <v>40</v>
      </c>
      <c r="E14" t="str">
        <f t="shared" si="0"/>
        <v xml:space="preserve"> Mayara Rondon Junior</v>
      </c>
      <c r="F14" t="str">
        <f t="shared" si="1"/>
        <v xml:space="preserve"> Mayara  Rondon Junior</v>
      </c>
      <c r="G14" t="s">
        <v>41</v>
      </c>
    </row>
    <row r="15" spans="1:7" x14ac:dyDescent="0.35">
      <c r="A15" s="1">
        <v>48738122</v>
      </c>
      <c r="B15" s="1"/>
      <c r="C15" t="s">
        <v>42</v>
      </c>
      <c r="D15" t="s">
        <v>43</v>
      </c>
      <c r="E15" t="str">
        <f t="shared" si="0"/>
        <v xml:space="preserve"> Natália Bernardes</v>
      </c>
      <c r="F15" t="str">
        <f t="shared" si="1"/>
        <v xml:space="preserve"> Natália  Bernardes</v>
      </c>
      <c r="G15" t="s">
        <v>44</v>
      </c>
    </row>
    <row r="16" spans="1:7" x14ac:dyDescent="0.35">
      <c r="A16" s="1">
        <v>49918829</v>
      </c>
      <c r="B16" s="1"/>
      <c r="C16" t="s">
        <v>45</v>
      </c>
      <c r="D16" t="s">
        <v>46</v>
      </c>
      <c r="E16" t="str">
        <f t="shared" si="0"/>
        <v xml:space="preserve"> Letícia Barros</v>
      </c>
      <c r="F16" t="str">
        <f t="shared" si="1"/>
        <v xml:space="preserve"> Letícia  Barros</v>
      </c>
      <c r="G16" t="s">
        <v>47</v>
      </c>
    </row>
    <row r="17" spans="1:7" x14ac:dyDescent="0.35">
      <c r="A17" s="1">
        <v>48881728</v>
      </c>
      <c r="B17" s="1"/>
      <c r="C17" t="s">
        <v>48</v>
      </c>
      <c r="D17" t="s">
        <v>49</v>
      </c>
      <c r="E17" t="str">
        <f t="shared" si="0"/>
        <v xml:space="preserve"> Fernanda Emboaba Junior</v>
      </c>
      <c r="F17" t="str">
        <f t="shared" si="1"/>
        <v xml:space="preserve"> Fernanda  Emboaba Junior</v>
      </c>
      <c r="G17" t="s">
        <v>50</v>
      </c>
    </row>
    <row r="18" spans="1:7" x14ac:dyDescent="0.35">
      <c r="A18" s="1">
        <v>40182821</v>
      </c>
      <c r="B18" s="1"/>
      <c r="C18" t="s">
        <v>51</v>
      </c>
      <c r="D18" t="s">
        <v>52</v>
      </c>
      <c r="E18" t="str">
        <f t="shared" si="0"/>
        <v xml:space="preserve"> Joyce Gazizi</v>
      </c>
      <c r="F18" t="str">
        <f t="shared" si="1"/>
        <v xml:space="preserve"> Joyce  Gazizi</v>
      </c>
      <c r="G18" t="s">
        <v>53</v>
      </c>
    </row>
    <row r="19" spans="1:7" x14ac:dyDescent="0.35">
      <c r="A19" s="1">
        <v>40817272</v>
      </c>
      <c r="B19" s="1"/>
      <c r="C19" t="s">
        <v>54</v>
      </c>
      <c r="D19" t="s">
        <v>55</v>
      </c>
      <c r="E19" t="str">
        <f t="shared" si="0"/>
        <v xml:space="preserve"> Helton Oliveira</v>
      </c>
      <c r="F19" t="str">
        <f t="shared" si="1"/>
        <v xml:space="preserve"> Helton  Oliveira</v>
      </c>
      <c r="G19" t="s">
        <v>56</v>
      </c>
    </row>
    <row r="20" spans="1:7" x14ac:dyDescent="0.35">
      <c r="A20" s="1">
        <v>40899191</v>
      </c>
      <c r="B20" s="1"/>
      <c r="C20" t="s">
        <v>57</v>
      </c>
      <c r="D20" t="s">
        <v>58</v>
      </c>
      <c r="E20" t="str">
        <f t="shared" si="0"/>
        <v xml:space="preserve"> Marcio Alencar</v>
      </c>
      <c r="F20" t="str">
        <f t="shared" si="1"/>
        <v xml:space="preserve"> Marcio  Alencar</v>
      </c>
      <c r="G20" t="s">
        <v>59</v>
      </c>
    </row>
    <row r="21" spans="1:7" x14ac:dyDescent="0.35">
      <c r="A21" s="1">
        <v>40901018</v>
      </c>
      <c r="B21" s="1"/>
      <c r="C21" t="s">
        <v>60</v>
      </c>
      <c r="D21" t="s">
        <v>61</v>
      </c>
      <c r="E21" t="str">
        <f t="shared" si="0"/>
        <v xml:space="preserve"> Marcus Machado</v>
      </c>
      <c r="F21" t="str">
        <f t="shared" si="1"/>
        <v xml:space="preserve"> Marcus  Machado</v>
      </c>
      <c r="G21" t="s">
        <v>62</v>
      </c>
    </row>
    <row r="22" spans="1:7" x14ac:dyDescent="0.35">
      <c r="A22" s="1">
        <v>40902845</v>
      </c>
      <c r="B22" s="1"/>
      <c r="C22" t="s">
        <v>63</v>
      </c>
      <c r="D22" t="s">
        <v>64</v>
      </c>
      <c r="E22" t="str">
        <f t="shared" si="0"/>
        <v xml:space="preserve"> Gilmar Neves Junior</v>
      </c>
      <c r="F22" t="str">
        <f t="shared" si="1"/>
        <v xml:space="preserve"> Gilmar  Neves Junior</v>
      </c>
      <c r="G22" t="s">
        <v>65</v>
      </c>
    </row>
    <row r="23" spans="1:7" x14ac:dyDescent="0.35">
      <c r="A23" s="1">
        <v>40904672</v>
      </c>
      <c r="B23" s="1"/>
      <c r="C23" t="s">
        <v>66</v>
      </c>
      <c r="D23" t="s">
        <v>67</v>
      </c>
      <c r="E23" t="str">
        <f t="shared" si="0"/>
        <v xml:space="preserve"> Fabiana Costa</v>
      </c>
      <c r="F23" t="str">
        <f t="shared" si="1"/>
        <v xml:space="preserve"> Fabiana  Costa</v>
      </c>
      <c r="G23" t="s">
        <v>68</v>
      </c>
    </row>
    <row r="24" spans="1:7" x14ac:dyDescent="0.35">
      <c r="A24" s="1">
        <v>40906499</v>
      </c>
      <c r="B24" s="1"/>
      <c r="C24" t="s">
        <v>69</v>
      </c>
      <c r="D24" t="s">
        <v>70</v>
      </c>
      <c r="E24" t="str">
        <f t="shared" si="0"/>
        <v xml:space="preserve"> Fátima Silva</v>
      </c>
      <c r="F24" t="str">
        <f t="shared" si="1"/>
        <v xml:space="preserve"> Fátima  Silva</v>
      </c>
      <c r="G24" t="s">
        <v>71</v>
      </c>
    </row>
    <row r="25" spans="1:7" x14ac:dyDescent="0.35">
      <c r="A25" s="1">
        <v>40908326</v>
      </c>
      <c r="B25" s="1"/>
      <c r="C25" t="s">
        <v>72</v>
      </c>
      <c r="D25" t="s">
        <v>73</v>
      </c>
      <c r="E25" t="str">
        <f t="shared" si="0"/>
        <v xml:space="preserve"> Rodrigo Jorge</v>
      </c>
      <c r="F25" t="str">
        <f t="shared" si="1"/>
        <v xml:space="preserve"> Rodrigo  Jorge</v>
      </c>
      <c r="G25" t="s">
        <v>74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8A6F-BED1-4331-ABDC-A4DC35401EA1}">
  <dimension ref="A1:H16"/>
  <sheetViews>
    <sheetView workbookViewId="0">
      <selection activeCell="L10" sqref="L10"/>
    </sheetView>
  </sheetViews>
  <sheetFormatPr defaultRowHeight="14.5" x14ac:dyDescent="0.35"/>
  <cols>
    <col min="1" max="1" width="26" bestFit="1" customWidth="1"/>
    <col min="4" max="4" width="14.1796875" customWidth="1"/>
    <col min="5" max="5" width="11.36328125" bestFit="1" customWidth="1"/>
    <col min="6" max="6" width="14.26953125" bestFit="1" customWidth="1"/>
    <col min="7" max="7" width="11.81640625" bestFit="1" customWidth="1"/>
    <col min="8" max="8" width="19.90625" bestFit="1" customWidth="1"/>
  </cols>
  <sheetData>
    <row r="1" spans="1:8" x14ac:dyDescent="0.35">
      <c r="A1" s="3" t="s">
        <v>78</v>
      </c>
      <c r="D1" t="s">
        <v>91</v>
      </c>
      <c r="E1" t="s">
        <v>92</v>
      </c>
      <c r="F1" t="s">
        <v>106</v>
      </c>
      <c r="G1" t="s">
        <v>107</v>
      </c>
      <c r="H1" t="s">
        <v>108</v>
      </c>
    </row>
    <row r="2" spans="1:8" x14ac:dyDescent="0.35">
      <c r="A2" s="4" t="s">
        <v>79</v>
      </c>
      <c r="D2" t="s">
        <v>93</v>
      </c>
      <c r="E2" t="s">
        <v>93</v>
      </c>
    </row>
    <row r="3" spans="1:8" x14ac:dyDescent="0.35">
      <c r="A3" s="3" t="s">
        <v>80</v>
      </c>
      <c r="D3" t="s">
        <v>94</v>
      </c>
      <c r="E3" s="6">
        <v>700</v>
      </c>
      <c r="F3" s="6">
        <f>E3*20%</f>
        <v>140</v>
      </c>
      <c r="G3" s="6">
        <f>E3-F3</f>
        <v>560</v>
      </c>
      <c r="H3" s="6">
        <f>E3-(E3*20%)</f>
        <v>560</v>
      </c>
    </row>
    <row r="4" spans="1:8" x14ac:dyDescent="0.35">
      <c r="A4" s="4" t="s">
        <v>81</v>
      </c>
      <c r="D4" t="s">
        <v>95</v>
      </c>
      <c r="E4" s="6">
        <v>200</v>
      </c>
      <c r="F4" s="6">
        <f t="shared" ref="F4:F13" si="0">E4*20%</f>
        <v>40</v>
      </c>
      <c r="G4" s="6">
        <f t="shared" ref="G4:G13" si="1">E4-F4</f>
        <v>160</v>
      </c>
      <c r="H4" s="6">
        <f t="shared" ref="H4:H13" si="2">E4-(E4*20%)</f>
        <v>160</v>
      </c>
    </row>
    <row r="5" spans="1:8" x14ac:dyDescent="0.35">
      <c r="A5" s="3" t="s">
        <v>82</v>
      </c>
      <c r="D5" t="s">
        <v>96</v>
      </c>
      <c r="E5" s="6">
        <v>3000</v>
      </c>
      <c r="F5" s="6">
        <f t="shared" si="0"/>
        <v>600</v>
      </c>
      <c r="G5" s="6">
        <f t="shared" si="1"/>
        <v>2400</v>
      </c>
      <c r="H5" s="6">
        <f t="shared" si="2"/>
        <v>2400</v>
      </c>
    </row>
    <row r="6" spans="1:8" x14ac:dyDescent="0.35">
      <c r="A6" s="4" t="s">
        <v>83</v>
      </c>
      <c r="D6" t="s">
        <v>97</v>
      </c>
      <c r="E6" s="6">
        <v>3293</v>
      </c>
      <c r="F6" s="6">
        <f t="shared" si="0"/>
        <v>658.6</v>
      </c>
      <c r="G6" s="6">
        <f t="shared" si="1"/>
        <v>2634.4</v>
      </c>
      <c r="H6" s="6">
        <f t="shared" si="2"/>
        <v>2634.4</v>
      </c>
    </row>
    <row r="7" spans="1:8" x14ac:dyDescent="0.35">
      <c r="A7" s="3" t="s">
        <v>84</v>
      </c>
      <c r="D7" t="s">
        <v>98</v>
      </c>
      <c r="E7" s="6">
        <v>980</v>
      </c>
      <c r="F7" s="6">
        <f t="shared" si="0"/>
        <v>196</v>
      </c>
      <c r="G7" s="6">
        <f t="shared" si="1"/>
        <v>784</v>
      </c>
      <c r="H7" s="6">
        <f t="shared" si="2"/>
        <v>784</v>
      </c>
    </row>
    <row r="8" spans="1:8" x14ac:dyDescent="0.35">
      <c r="A8" s="4" t="s">
        <v>85</v>
      </c>
      <c r="D8" t="s">
        <v>99</v>
      </c>
      <c r="E8" s="6">
        <v>372</v>
      </c>
      <c r="F8" s="6">
        <f t="shared" si="0"/>
        <v>74.400000000000006</v>
      </c>
      <c r="G8" s="6">
        <f t="shared" si="1"/>
        <v>297.60000000000002</v>
      </c>
      <c r="H8" s="6">
        <f t="shared" si="2"/>
        <v>297.60000000000002</v>
      </c>
    </row>
    <row r="9" spans="1:8" x14ac:dyDescent="0.35">
      <c r="A9" s="3" t="s">
        <v>86</v>
      </c>
      <c r="D9" t="s">
        <v>100</v>
      </c>
      <c r="E9" s="6">
        <v>115</v>
      </c>
      <c r="F9" s="6">
        <f t="shared" si="0"/>
        <v>23</v>
      </c>
      <c r="G9" s="6">
        <f t="shared" si="1"/>
        <v>92</v>
      </c>
      <c r="H9" s="6">
        <f t="shared" si="2"/>
        <v>92</v>
      </c>
    </row>
    <row r="10" spans="1:8" x14ac:dyDescent="0.35">
      <c r="A10" s="4" t="s">
        <v>87</v>
      </c>
      <c r="D10" t="s">
        <v>101</v>
      </c>
      <c r="E10" s="6">
        <v>79</v>
      </c>
      <c r="F10" s="6">
        <f t="shared" si="0"/>
        <v>15.8</v>
      </c>
      <c r="G10" s="6">
        <f t="shared" si="1"/>
        <v>63.2</v>
      </c>
      <c r="H10" s="6">
        <f t="shared" si="2"/>
        <v>63.2</v>
      </c>
    </row>
    <row r="11" spans="1:8" x14ac:dyDescent="0.35">
      <c r="A11" s="3" t="s">
        <v>88</v>
      </c>
      <c r="D11" t="s">
        <v>102</v>
      </c>
      <c r="E11" s="6">
        <v>59</v>
      </c>
      <c r="F11" s="6">
        <f t="shared" si="0"/>
        <v>11.8</v>
      </c>
      <c r="G11" s="6">
        <f t="shared" si="1"/>
        <v>47.2</v>
      </c>
      <c r="H11" s="6">
        <f t="shared" si="2"/>
        <v>47.2</v>
      </c>
    </row>
    <row r="12" spans="1:8" x14ac:dyDescent="0.35">
      <c r="A12" s="4" t="s">
        <v>89</v>
      </c>
      <c r="D12" t="s">
        <v>103</v>
      </c>
      <c r="E12" s="6">
        <v>6000</v>
      </c>
      <c r="F12" s="6">
        <f t="shared" si="0"/>
        <v>1200</v>
      </c>
      <c r="G12" s="6">
        <f t="shared" si="1"/>
        <v>4800</v>
      </c>
      <c r="H12" s="6">
        <f t="shared" si="2"/>
        <v>4800</v>
      </c>
    </row>
    <row r="13" spans="1:8" x14ac:dyDescent="0.35">
      <c r="A13" s="3" t="s">
        <v>90</v>
      </c>
      <c r="D13" t="s">
        <v>104</v>
      </c>
      <c r="E13" s="6">
        <v>12000</v>
      </c>
      <c r="F13" s="6">
        <f t="shared" si="0"/>
        <v>2400</v>
      </c>
      <c r="G13" s="6">
        <f t="shared" si="1"/>
        <v>9600</v>
      </c>
      <c r="H13" s="6">
        <f t="shared" si="2"/>
        <v>9600</v>
      </c>
    </row>
    <row r="14" spans="1:8" x14ac:dyDescent="0.35">
      <c r="A14" s="4" t="s">
        <v>77</v>
      </c>
      <c r="D14" t="s">
        <v>105</v>
      </c>
      <c r="E14" s="6">
        <f>SUM(E3:E13)</f>
        <v>26798</v>
      </c>
      <c r="F14" s="6">
        <f t="shared" ref="F14:H14" si="3">SUM(F3:F13)</f>
        <v>5359.6</v>
      </c>
      <c r="G14" s="6">
        <f t="shared" si="3"/>
        <v>21438.400000000001</v>
      </c>
      <c r="H14" s="6">
        <f t="shared" si="3"/>
        <v>21438.400000000001</v>
      </c>
    </row>
    <row r="15" spans="1:8" x14ac:dyDescent="0.35">
      <c r="A15" s="3" t="s">
        <v>77</v>
      </c>
    </row>
    <row r="16" spans="1:8" x14ac:dyDescent="0.35">
      <c r="A16" s="5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747E-6C73-4919-9D6F-80CC9592D1DE}">
  <dimension ref="A1"/>
  <sheetViews>
    <sheetView workbookViewId="0">
      <selection activeCell="C6" sqref="C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1CC2-70FF-4DFD-9829-01520EC25544}">
  <dimension ref="A1"/>
  <sheetViews>
    <sheetView workbookViewId="0">
      <selection activeCell="H7" sqref="H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0065-3E81-47CC-BEC7-00C950C6150A}">
  <dimension ref="A1:H17"/>
  <sheetViews>
    <sheetView workbookViewId="0">
      <selection activeCell="J10" sqref="J10"/>
    </sheetView>
  </sheetViews>
  <sheetFormatPr defaultRowHeight="14.5" x14ac:dyDescent="0.35"/>
  <cols>
    <col min="1" max="1" width="26" bestFit="1" customWidth="1"/>
    <col min="4" max="4" width="14.1796875" customWidth="1"/>
    <col min="5" max="5" width="11.36328125" bestFit="1" customWidth="1"/>
    <col min="6" max="6" width="14.26953125" bestFit="1" customWidth="1"/>
    <col min="7" max="7" width="11.81640625" bestFit="1" customWidth="1"/>
    <col min="8" max="8" width="19.90625" bestFit="1" customWidth="1"/>
  </cols>
  <sheetData>
    <row r="1" spans="1:8" x14ac:dyDescent="0.35">
      <c r="A1" s="3" t="s">
        <v>78</v>
      </c>
      <c r="D1" t="s">
        <v>91</v>
      </c>
      <c r="E1" t="s">
        <v>92</v>
      </c>
      <c r="F1" t="s">
        <v>106</v>
      </c>
      <c r="G1" t="s">
        <v>107</v>
      </c>
      <c r="H1" t="s">
        <v>108</v>
      </c>
    </row>
    <row r="2" spans="1:8" x14ac:dyDescent="0.35">
      <c r="A2" s="4" t="s">
        <v>79</v>
      </c>
      <c r="D2" t="s">
        <v>93</v>
      </c>
      <c r="E2" t="s">
        <v>93</v>
      </c>
    </row>
    <row r="3" spans="1:8" x14ac:dyDescent="0.35">
      <c r="A3" s="3" t="s">
        <v>80</v>
      </c>
      <c r="D3" t="s">
        <v>94</v>
      </c>
      <c r="E3" s="6">
        <v>700</v>
      </c>
      <c r="F3" s="6">
        <f>E3*20%</f>
        <v>140</v>
      </c>
      <c r="G3" s="6">
        <f>E3-F3</f>
        <v>560</v>
      </c>
      <c r="H3" s="6">
        <f>E3-(E3*20%)</f>
        <v>560</v>
      </c>
    </row>
    <row r="4" spans="1:8" x14ac:dyDescent="0.35">
      <c r="A4" s="4" t="s">
        <v>81</v>
      </c>
      <c r="D4" t="s">
        <v>95</v>
      </c>
      <c r="E4" s="6">
        <v>200</v>
      </c>
      <c r="F4" s="6">
        <f t="shared" ref="F4:F13" si="0">E4*20%</f>
        <v>40</v>
      </c>
      <c r="G4" s="6">
        <f t="shared" ref="G4:G13" si="1">E4-F4</f>
        <v>160</v>
      </c>
      <c r="H4" s="6">
        <f t="shared" ref="H4:H13" si="2">E4-(E4*20%)</f>
        <v>160</v>
      </c>
    </row>
    <row r="5" spans="1:8" x14ac:dyDescent="0.35">
      <c r="A5" s="3" t="s">
        <v>82</v>
      </c>
      <c r="D5" t="s">
        <v>96</v>
      </c>
      <c r="E5" s="6">
        <v>3000</v>
      </c>
      <c r="F5" s="6">
        <f t="shared" si="0"/>
        <v>600</v>
      </c>
      <c r="G5" s="6">
        <f t="shared" si="1"/>
        <v>2400</v>
      </c>
      <c r="H5" s="6">
        <f t="shared" si="2"/>
        <v>2400</v>
      </c>
    </row>
    <row r="6" spans="1:8" x14ac:dyDescent="0.35">
      <c r="A6" s="4" t="s">
        <v>83</v>
      </c>
      <c r="D6" t="s">
        <v>97</v>
      </c>
      <c r="E6" s="6">
        <v>3293</v>
      </c>
      <c r="F6" s="6">
        <f t="shared" si="0"/>
        <v>658.6</v>
      </c>
      <c r="G6" s="6">
        <f t="shared" si="1"/>
        <v>2634.4</v>
      </c>
      <c r="H6" s="6">
        <f t="shared" si="2"/>
        <v>2634.4</v>
      </c>
    </row>
    <row r="7" spans="1:8" x14ac:dyDescent="0.35">
      <c r="A7" s="3" t="s">
        <v>84</v>
      </c>
      <c r="D7" t="s">
        <v>98</v>
      </c>
      <c r="E7" s="6">
        <v>980</v>
      </c>
      <c r="F7" s="6">
        <f t="shared" si="0"/>
        <v>196</v>
      </c>
      <c r="G7" s="6">
        <f t="shared" si="1"/>
        <v>784</v>
      </c>
      <c r="H7" s="6">
        <f t="shared" si="2"/>
        <v>784</v>
      </c>
    </row>
    <row r="8" spans="1:8" x14ac:dyDescent="0.35">
      <c r="A8" s="4" t="s">
        <v>85</v>
      </c>
      <c r="D8" t="s">
        <v>99</v>
      </c>
      <c r="E8" s="6">
        <v>372</v>
      </c>
      <c r="F8" s="6">
        <f t="shared" si="0"/>
        <v>74.400000000000006</v>
      </c>
      <c r="G8" s="6">
        <f t="shared" si="1"/>
        <v>297.60000000000002</v>
      </c>
      <c r="H8" s="6">
        <f t="shared" si="2"/>
        <v>297.60000000000002</v>
      </c>
    </row>
    <row r="9" spans="1:8" x14ac:dyDescent="0.35">
      <c r="A9" s="3" t="s">
        <v>86</v>
      </c>
      <c r="D9" t="s">
        <v>100</v>
      </c>
      <c r="E9" s="6">
        <v>115</v>
      </c>
      <c r="F9" s="6">
        <f t="shared" si="0"/>
        <v>23</v>
      </c>
      <c r="G9" s="6">
        <f t="shared" si="1"/>
        <v>92</v>
      </c>
      <c r="H9" s="6">
        <f t="shared" si="2"/>
        <v>92</v>
      </c>
    </row>
    <row r="10" spans="1:8" x14ac:dyDescent="0.35">
      <c r="A10" s="4" t="s">
        <v>87</v>
      </c>
      <c r="D10" t="s">
        <v>101</v>
      </c>
      <c r="E10" s="6">
        <v>79</v>
      </c>
      <c r="F10" s="6">
        <f t="shared" si="0"/>
        <v>15.8</v>
      </c>
      <c r="G10" s="6">
        <f t="shared" si="1"/>
        <v>63.2</v>
      </c>
      <c r="H10" s="6">
        <f t="shared" si="2"/>
        <v>63.2</v>
      </c>
    </row>
    <row r="11" spans="1:8" x14ac:dyDescent="0.35">
      <c r="A11" s="3" t="s">
        <v>88</v>
      </c>
      <c r="D11" t="s">
        <v>102</v>
      </c>
      <c r="E11" s="6">
        <v>59</v>
      </c>
      <c r="F11" s="6">
        <f t="shared" si="0"/>
        <v>11.8</v>
      </c>
      <c r="G11" s="6">
        <f t="shared" si="1"/>
        <v>47.2</v>
      </c>
      <c r="H11" s="6">
        <f t="shared" si="2"/>
        <v>47.2</v>
      </c>
    </row>
    <row r="12" spans="1:8" x14ac:dyDescent="0.35">
      <c r="A12" s="4" t="s">
        <v>89</v>
      </c>
      <c r="D12" t="s">
        <v>103</v>
      </c>
      <c r="E12" s="6">
        <v>6000</v>
      </c>
      <c r="F12" s="6">
        <f t="shared" si="0"/>
        <v>1200</v>
      </c>
      <c r="G12" s="6">
        <f t="shared" si="1"/>
        <v>4800</v>
      </c>
      <c r="H12" s="6">
        <f t="shared" si="2"/>
        <v>4800</v>
      </c>
    </row>
    <row r="13" spans="1:8" x14ac:dyDescent="0.35">
      <c r="A13" s="3" t="s">
        <v>90</v>
      </c>
      <c r="D13" t="s">
        <v>104</v>
      </c>
      <c r="E13" s="6">
        <v>12000</v>
      </c>
      <c r="F13" s="6">
        <f t="shared" si="0"/>
        <v>2400</v>
      </c>
      <c r="G13" s="6">
        <f t="shared" si="1"/>
        <v>9600</v>
      </c>
      <c r="H13" s="6">
        <f t="shared" si="2"/>
        <v>9600</v>
      </c>
    </row>
    <row r="14" spans="1:8" x14ac:dyDescent="0.35">
      <c r="A14" s="4" t="s">
        <v>77</v>
      </c>
      <c r="D14" t="s">
        <v>105</v>
      </c>
      <c r="E14" s="6">
        <f>SUM(E3:E13)</f>
        <v>26798</v>
      </c>
      <c r="F14" s="6">
        <f t="shared" ref="F14:H14" si="3">SUM(F3:F13)</f>
        <v>5359.6</v>
      </c>
      <c r="G14" s="6">
        <f t="shared" si="3"/>
        <v>21438.400000000001</v>
      </c>
      <c r="H14" s="6">
        <f t="shared" si="3"/>
        <v>21438.400000000001</v>
      </c>
    </row>
    <row r="15" spans="1:8" x14ac:dyDescent="0.35">
      <c r="A15" s="3" t="s">
        <v>77</v>
      </c>
    </row>
    <row r="16" spans="1:8" x14ac:dyDescent="0.35">
      <c r="A16" s="5" t="s">
        <v>77</v>
      </c>
      <c r="D16" t="s">
        <v>109</v>
      </c>
      <c r="E16" s="6">
        <f>MAX(E3:E13)</f>
        <v>12000</v>
      </c>
    </row>
    <row r="17" spans="4:5" x14ac:dyDescent="0.35">
      <c r="D17" t="s">
        <v>110</v>
      </c>
      <c r="E17" s="6">
        <f>MIN(E3:E13)</f>
        <v>59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FB7C-7E2F-4DFE-B0CB-5B62A9C0B908}">
  <dimension ref="A1:I17"/>
  <sheetViews>
    <sheetView workbookViewId="0">
      <selection activeCell="L8" sqref="L8"/>
    </sheetView>
  </sheetViews>
  <sheetFormatPr defaultRowHeight="14.5" x14ac:dyDescent="0.35"/>
  <cols>
    <col min="1" max="1" width="26" bestFit="1" customWidth="1"/>
    <col min="4" max="4" width="14.1796875" customWidth="1"/>
    <col min="5" max="5" width="11.36328125" bestFit="1" customWidth="1"/>
    <col min="6" max="6" width="14.6328125" bestFit="1" customWidth="1"/>
    <col min="7" max="7" width="11.36328125" customWidth="1"/>
    <col min="9" max="9" width="12.6328125" customWidth="1"/>
  </cols>
  <sheetData>
    <row r="1" spans="1:9" x14ac:dyDescent="0.35">
      <c r="A1" s="3" t="s">
        <v>78</v>
      </c>
      <c r="D1" t="s">
        <v>91</v>
      </c>
      <c r="E1" t="s">
        <v>92</v>
      </c>
      <c r="F1" s="7">
        <v>0.2</v>
      </c>
      <c r="I1" t="s">
        <v>111</v>
      </c>
    </row>
    <row r="2" spans="1:9" x14ac:dyDescent="0.35">
      <c r="A2" s="4" t="s">
        <v>79</v>
      </c>
      <c r="D2" t="s">
        <v>93</v>
      </c>
      <c r="E2" t="s">
        <v>93</v>
      </c>
    </row>
    <row r="3" spans="1:9" x14ac:dyDescent="0.35">
      <c r="A3" s="3" t="s">
        <v>80</v>
      </c>
      <c r="D3" t="s">
        <v>94</v>
      </c>
      <c r="E3" s="6">
        <v>700</v>
      </c>
      <c r="F3" s="6"/>
      <c r="G3" s="6">
        <f>E3*$F$1</f>
        <v>140</v>
      </c>
      <c r="I3" s="6">
        <f>E3*DESCONTO</f>
        <v>140</v>
      </c>
    </row>
    <row r="4" spans="1:9" x14ac:dyDescent="0.35">
      <c r="A4" s="4" t="s">
        <v>81</v>
      </c>
      <c r="D4" t="s">
        <v>95</v>
      </c>
      <c r="E4" s="6">
        <v>200</v>
      </c>
      <c r="F4" s="6"/>
      <c r="G4" s="6">
        <f t="shared" ref="G4:G14" si="0">E4*$F$1</f>
        <v>40</v>
      </c>
      <c r="I4" s="6">
        <f>E4*DESCONTO</f>
        <v>40</v>
      </c>
    </row>
    <row r="5" spans="1:9" x14ac:dyDescent="0.35">
      <c r="A5" s="3" t="s">
        <v>82</v>
      </c>
      <c r="D5" t="s">
        <v>96</v>
      </c>
      <c r="E5" s="6">
        <v>3000</v>
      </c>
      <c r="F5" s="6"/>
      <c r="G5" s="6">
        <f t="shared" si="0"/>
        <v>600</v>
      </c>
      <c r="I5" s="6">
        <f>E5*DESCONTO</f>
        <v>600</v>
      </c>
    </row>
    <row r="6" spans="1:9" x14ac:dyDescent="0.35">
      <c r="A6" s="4" t="s">
        <v>83</v>
      </c>
      <c r="D6" t="s">
        <v>97</v>
      </c>
      <c r="E6" s="6">
        <v>3293</v>
      </c>
      <c r="F6" s="6"/>
      <c r="G6" s="6">
        <f t="shared" si="0"/>
        <v>658.6</v>
      </c>
      <c r="I6" s="6">
        <f>E6*DESCONTO</f>
        <v>658.6</v>
      </c>
    </row>
    <row r="7" spans="1:9" x14ac:dyDescent="0.35">
      <c r="A7" s="3" t="s">
        <v>84</v>
      </c>
      <c r="D7" t="s">
        <v>98</v>
      </c>
      <c r="E7" s="6">
        <v>980</v>
      </c>
      <c r="F7" s="6"/>
      <c r="G7" s="6">
        <f t="shared" si="0"/>
        <v>196</v>
      </c>
      <c r="I7" s="6">
        <f>E7*DESCONTO</f>
        <v>196</v>
      </c>
    </row>
    <row r="8" spans="1:9" x14ac:dyDescent="0.35">
      <c r="A8" s="4" t="s">
        <v>85</v>
      </c>
      <c r="D8" t="s">
        <v>99</v>
      </c>
      <c r="E8" s="6">
        <v>372</v>
      </c>
      <c r="F8" s="6"/>
      <c r="G8" s="6">
        <f t="shared" si="0"/>
        <v>74.400000000000006</v>
      </c>
      <c r="I8" s="6">
        <f>E8*DESCONTO</f>
        <v>74.400000000000006</v>
      </c>
    </row>
    <row r="9" spans="1:9" x14ac:dyDescent="0.35">
      <c r="A9" s="3" t="s">
        <v>86</v>
      </c>
      <c r="D9" t="s">
        <v>100</v>
      </c>
      <c r="E9" s="6">
        <v>115</v>
      </c>
      <c r="F9" s="6"/>
      <c r="G9" s="6">
        <f t="shared" si="0"/>
        <v>23</v>
      </c>
      <c r="I9" s="6">
        <f>E9*DESCONTO</f>
        <v>23</v>
      </c>
    </row>
    <row r="10" spans="1:9" x14ac:dyDescent="0.35">
      <c r="A10" s="4" t="s">
        <v>87</v>
      </c>
      <c r="D10" t="s">
        <v>101</v>
      </c>
      <c r="E10" s="6">
        <v>79</v>
      </c>
      <c r="F10" s="6"/>
      <c r="G10" s="6">
        <f t="shared" si="0"/>
        <v>15.8</v>
      </c>
      <c r="I10" s="6">
        <f>E10*DESCONTO</f>
        <v>15.8</v>
      </c>
    </row>
    <row r="11" spans="1:9" x14ac:dyDescent="0.35">
      <c r="A11" s="3" t="s">
        <v>88</v>
      </c>
      <c r="D11" t="s">
        <v>102</v>
      </c>
      <c r="E11" s="6">
        <v>59</v>
      </c>
      <c r="F11" s="6"/>
      <c r="G11" s="6">
        <f t="shared" si="0"/>
        <v>11.8</v>
      </c>
      <c r="I11" s="6">
        <f>E11*DESCONTO</f>
        <v>11.8</v>
      </c>
    </row>
    <row r="12" spans="1:9" x14ac:dyDescent="0.35">
      <c r="A12" s="4" t="s">
        <v>89</v>
      </c>
      <c r="D12" t="s">
        <v>103</v>
      </c>
      <c r="E12" s="6">
        <v>6000</v>
      </c>
      <c r="F12" s="6"/>
      <c r="G12" s="6">
        <f t="shared" si="0"/>
        <v>1200</v>
      </c>
      <c r="I12" s="6">
        <f>E12*DESCONTO</f>
        <v>1200</v>
      </c>
    </row>
    <row r="13" spans="1:9" x14ac:dyDescent="0.35">
      <c r="A13" s="3" t="s">
        <v>90</v>
      </c>
      <c r="D13" t="s">
        <v>104</v>
      </c>
      <c r="E13" s="6">
        <v>12000</v>
      </c>
      <c r="F13" s="6"/>
      <c r="G13" s="6">
        <f t="shared" si="0"/>
        <v>2400</v>
      </c>
      <c r="I13" s="6">
        <f>E13*DESCONTO</f>
        <v>2400</v>
      </c>
    </row>
    <row r="14" spans="1:9" x14ac:dyDescent="0.35">
      <c r="A14" s="4" t="s">
        <v>77</v>
      </c>
      <c r="D14" t="s">
        <v>105</v>
      </c>
      <c r="E14" s="6">
        <f>SUM(E3:E13)</f>
        <v>26798</v>
      </c>
      <c r="F14" s="6"/>
      <c r="G14" s="6">
        <f t="shared" si="0"/>
        <v>5359.6</v>
      </c>
      <c r="I14" s="6">
        <f>E14*DESCONTO</f>
        <v>5359.6</v>
      </c>
    </row>
    <row r="15" spans="1:9" x14ac:dyDescent="0.35">
      <c r="A15" s="3" t="s">
        <v>77</v>
      </c>
    </row>
    <row r="16" spans="1:9" x14ac:dyDescent="0.35">
      <c r="A16" s="5" t="s">
        <v>77</v>
      </c>
      <c r="D16" t="s">
        <v>109</v>
      </c>
      <c r="E16" s="6">
        <f>MAX(E3:E13)</f>
        <v>12000</v>
      </c>
    </row>
    <row r="17" spans="4:5" x14ac:dyDescent="0.35">
      <c r="D17" t="s">
        <v>110</v>
      </c>
      <c r="E17" s="6">
        <f>MIN(E3:E13)</f>
        <v>59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9834-0974-45DF-AEE5-B957B80111F6}">
  <dimension ref="A1:Q203"/>
  <sheetViews>
    <sheetView topLeftCell="E1" workbookViewId="0">
      <selection activeCell="I208" sqref="I208"/>
    </sheetView>
  </sheetViews>
  <sheetFormatPr defaultRowHeight="14.5" x14ac:dyDescent="0.35"/>
  <cols>
    <col min="1" max="1" width="13.26953125" bestFit="1" customWidth="1"/>
    <col min="2" max="2" width="18.453125" bestFit="1" customWidth="1"/>
    <col min="3" max="3" width="17.81640625" bestFit="1" customWidth="1"/>
    <col min="4" max="4" width="17.90625" bestFit="1" customWidth="1"/>
    <col min="5" max="5" width="19.26953125" bestFit="1" customWidth="1"/>
    <col min="6" max="6" width="18.26953125" bestFit="1" customWidth="1"/>
    <col min="7" max="7" width="19" bestFit="1" customWidth="1"/>
    <col min="8" max="8" width="22.1796875" bestFit="1" customWidth="1"/>
    <col min="9" max="9" width="20.6328125" bestFit="1" customWidth="1"/>
    <col min="10" max="10" width="24.1796875" bestFit="1" customWidth="1"/>
    <col min="12" max="12" width="24.1796875" bestFit="1" customWidth="1"/>
    <col min="13" max="13" width="20.54296875" customWidth="1"/>
    <col min="14" max="14" width="6.453125" customWidth="1"/>
    <col min="15" max="15" width="42.26953125" bestFit="1" customWidth="1"/>
    <col min="17" max="17" width="16.08984375" bestFit="1" customWidth="1"/>
  </cols>
  <sheetData>
    <row r="1" spans="1:17" x14ac:dyDescent="0.3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L1" t="s">
        <v>142</v>
      </c>
      <c r="O1" t="s">
        <v>350</v>
      </c>
      <c r="Q1" t="s">
        <v>351</v>
      </c>
    </row>
    <row r="2" spans="1:17" x14ac:dyDescent="0.35">
      <c r="A2" s="2" t="s">
        <v>348</v>
      </c>
      <c r="B2" s="2" t="s">
        <v>122</v>
      </c>
      <c r="C2" s="2" t="s">
        <v>123</v>
      </c>
      <c r="D2">
        <v>310</v>
      </c>
      <c r="E2">
        <v>88</v>
      </c>
      <c r="F2">
        <v>371</v>
      </c>
      <c r="G2">
        <v>11</v>
      </c>
      <c r="H2" s="8">
        <v>9598</v>
      </c>
      <c r="I2" s="2" t="s">
        <v>124</v>
      </c>
      <c r="J2" s="2" t="s">
        <v>125</v>
      </c>
      <c r="L2" s="2" t="s">
        <v>125</v>
      </c>
      <c r="M2">
        <f>SUMIF(J:J,L2,F:F)</f>
        <v>9953</v>
      </c>
      <c r="O2" s="9" t="s">
        <v>131</v>
      </c>
      <c r="P2">
        <f>SUMIF(C:C,O2,F:F)</f>
        <v>12000</v>
      </c>
      <c r="Q2">
        <f>SUMIF(dados_logistica_processos[Linha_Producao],O2,G:G)</f>
        <v>403</v>
      </c>
    </row>
    <row r="3" spans="1:17" x14ac:dyDescent="0.35">
      <c r="A3" s="2" t="s">
        <v>149</v>
      </c>
      <c r="B3" s="2" t="s">
        <v>126</v>
      </c>
      <c r="C3" s="2" t="s">
        <v>127</v>
      </c>
      <c r="D3">
        <v>331</v>
      </c>
      <c r="E3">
        <v>146</v>
      </c>
      <c r="F3">
        <v>269</v>
      </c>
      <c r="G3">
        <v>9</v>
      </c>
      <c r="H3" s="8">
        <v>56921</v>
      </c>
      <c r="I3" s="2" t="s">
        <v>128</v>
      </c>
      <c r="J3" s="2" t="s">
        <v>129</v>
      </c>
      <c r="L3" s="2" t="s">
        <v>129</v>
      </c>
      <c r="M3">
        <f>SUMIF(J:J,L3,F:F)</f>
        <v>10133</v>
      </c>
    </row>
    <row r="4" spans="1:17" x14ac:dyDescent="0.35">
      <c r="A4" s="2" t="s">
        <v>150</v>
      </c>
      <c r="B4" s="2" t="s">
        <v>130</v>
      </c>
      <c r="C4" s="2" t="s">
        <v>131</v>
      </c>
      <c r="D4">
        <v>368</v>
      </c>
      <c r="E4">
        <v>83</v>
      </c>
      <c r="F4">
        <v>124</v>
      </c>
      <c r="G4">
        <v>9</v>
      </c>
      <c r="H4" s="8">
        <v>43992</v>
      </c>
      <c r="I4" s="2" t="s">
        <v>128</v>
      </c>
      <c r="J4" s="2" t="s">
        <v>132</v>
      </c>
      <c r="L4" s="2" t="s">
        <v>132</v>
      </c>
      <c r="M4">
        <f>SUMIF(J:J,L4,F:F)</f>
        <v>8758</v>
      </c>
    </row>
    <row r="5" spans="1:17" x14ac:dyDescent="0.35">
      <c r="A5" s="2" t="s">
        <v>151</v>
      </c>
      <c r="B5" s="2" t="s">
        <v>122</v>
      </c>
      <c r="C5" s="2" t="s">
        <v>131</v>
      </c>
      <c r="D5">
        <v>406</v>
      </c>
      <c r="E5">
        <v>98</v>
      </c>
      <c r="F5">
        <v>53</v>
      </c>
      <c r="G5">
        <v>0</v>
      </c>
      <c r="H5" s="8">
        <v>18542</v>
      </c>
      <c r="I5" s="2" t="s">
        <v>128</v>
      </c>
      <c r="J5" s="2" t="s">
        <v>133</v>
      </c>
      <c r="L5" s="2" t="s">
        <v>133</v>
      </c>
      <c r="M5">
        <f>SUMIF(J:J,L5,F:F)</f>
        <v>9910</v>
      </c>
    </row>
    <row r="6" spans="1:17" x14ac:dyDescent="0.35">
      <c r="A6" s="2" t="s">
        <v>152</v>
      </c>
      <c r="B6" s="2" t="s">
        <v>134</v>
      </c>
      <c r="C6" s="2" t="s">
        <v>131</v>
      </c>
      <c r="D6">
        <v>185</v>
      </c>
      <c r="E6">
        <v>107</v>
      </c>
      <c r="F6">
        <v>384</v>
      </c>
      <c r="G6">
        <v>18</v>
      </c>
      <c r="H6" s="8">
        <v>124291</v>
      </c>
      <c r="I6" s="2" t="s">
        <v>128</v>
      </c>
      <c r="J6" s="2" t="s">
        <v>129</v>
      </c>
      <c r="L6" s="2" t="s">
        <v>135</v>
      </c>
      <c r="M6">
        <f>SUMIF(J:J,L6,F:F)</f>
        <v>9287</v>
      </c>
    </row>
    <row r="7" spans="1:17" x14ac:dyDescent="0.35">
      <c r="A7" s="2" t="s">
        <v>153</v>
      </c>
      <c r="B7" s="2" t="s">
        <v>130</v>
      </c>
      <c r="C7" s="2" t="s">
        <v>131</v>
      </c>
      <c r="D7">
        <v>200</v>
      </c>
      <c r="E7">
        <v>74</v>
      </c>
      <c r="F7">
        <v>183</v>
      </c>
      <c r="G7">
        <v>7</v>
      </c>
      <c r="H7" s="8">
        <v>39901</v>
      </c>
      <c r="I7" s="2" t="s">
        <v>124</v>
      </c>
      <c r="J7" s="2" t="s">
        <v>135</v>
      </c>
      <c r="L7" s="2" t="s">
        <v>140</v>
      </c>
      <c r="M7">
        <f>SUMIF(J:J,L7,F:F)</f>
        <v>6870</v>
      </c>
    </row>
    <row r="8" spans="1:17" x14ac:dyDescent="0.35">
      <c r="A8" s="2" t="s">
        <v>154</v>
      </c>
      <c r="B8" s="2" t="s">
        <v>130</v>
      </c>
      <c r="C8" s="2" t="s">
        <v>131</v>
      </c>
      <c r="D8">
        <v>88</v>
      </c>
      <c r="E8">
        <v>98</v>
      </c>
      <c r="F8">
        <v>167</v>
      </c>
      <c r="G8">
        <v>8</v>
      </c>
      <c r="H8" s="8">
        <v>49692</v>
      </c>
      <c r="I8" s="2" t="s">
        <v>124</v>
      </c>
      <c r="J8" s="2" t="s">
        <v>133</v>
      </c>
    </row>
    <row r="9" spans="1:17" x14ac:dyDescent="0.35">
      <c r="A9" s="2" t="s">
        <v>155</v>
      </c>
      <c r="B9" s="2" t="s">
        <v>122</v>
      </c>
      <c r="C9" s="2" t="s">
        <v>136</v>
      </c>
      <c r="D9">
        <v>281</v>
      </c>
      <c r="E9">
        <v>92</v>
      </c>
      <c r="F9">
        <v>418</v>
      </c>
      <c r="G9">
        <v>0</v>
      </c>
      <c r="H9" s="8">
        <v>100422</v>
      </c>
      <c r="I9" s="2" t="s">
        <v>124</v>
      </c>
      <c r="J9" s="2" t="s">
        <v>125</v>
      </c>
    </row>
    <row r="10" spans="1:17" x14ac:dyDescent="0.35">
      <c r="A10" s="2" t="s">
        <v>156</v>
      </c>
      <c r="B10" s="2" t="s">
        <v>137</v>
      </c>
      <c r="C10" s="2" t="s">
        <v>138</v>
      </c>
      <c r="D10">
        <v>64</v>
      </c>
      <c r="E10">
        <v>136</v>
      </c>
      <c r="F10">
        <v>143</v>
      </c>
      <c r="G10">
        <v>9</v>
      </c>
      <c r="H10" s="8">
        <v>24724</v>
      </c>
      <c r="I10" s="2" t="s">
        <v>128</v>
      </c>
      <c r="J10" s="2" t="s">
        <v>135</v>
      </c>
      <c r="L10" t="s">
        <v>143</v>
      </c>
      <c r="O10" t="s">
        <v>352</v>
      </c>
    </row>
    <row r="11" spans="1:17" x14ac:dyDescent="0.35">
      <c r="A11" s="2" t="s">
        <v>157</v>
      </c>
      <c r="B11" s="2" t="s">
        <v>134</v>
      </c>
      <c r="C11" s="2" t="s">
        <v>131</v>
      </c>
      <c r="D11">
        <v>236</v>
      </c>
      <c r="E11">
        <v>16</v>
      </c>
      <c r="F11">
        <v>484</v>
      </c>
      <c r="G11">
        <v>36</v>
      </c>
      <c r="H11" s="8">
        <v>183595</v>
      </c>
      <c r="I11" s="2" t="s">
        <v>124</v>
      </c>
      <c r="J11" s="2" t="s">
        <v>133</v>
      </c>
      <c r="L11" t="s">
        <v>144</v>
      </c>
      <c r="O11" s="9" t="s">
        <v>131</v>
      </c>
      <c r="P11">
        <f>SUMIFS(G:G,C:C,O11,B:B,O12)</f>
        <v>80</v>
      </c>
    </row>
    <row r="12" spans="1:17" x14ac:dyDescent="0.35">
      <c r="A12" s="2" t="s">
        <v>158</v>
      </c>
      <c r="B12" s="2" t="s">
        <v>122</v>
      </c>
      <c r="C12" s="2" t="s">
        <v>123</v>
      </c>
      <c r="D12">
        <v>267</v>
      </c>
      <c r="E12">
        <v>49</v>
      </c>
      <c r="F12">
        <v>111</v>
      </c>
      <c r="G12">
        <v>5</v>
      </c>
      <c r="H12" s="8">
        <v>20447</v>
      </c>
      <c r="I12" s="2" t="s">
        <v>124</v>
      </c>
      <c r="J12" s="2" t="s">
        <v>135</v>
      </c>
      <c r="L12" t="s">
        <v>145</v>
      </c>
      <c r="O12" s="9" t="s">
        <v>122</v>
      </c>
    </row>
    <row r="13" spans="1:17" x14ac:dyDescent="0.35">
      <c r="A13" s="2" t="s">
        <v>159</v>
      </c>
      <c r="B13" s="2" t="s">
        <v>134</v>
      </c>
      <c r="C13" s="2" t="s">
        <v>123</v>
      </c>
      <c r="D13">
        <v>165</v>
      </c>
      <c r="E13">
        <v>143</v>
      </c>
      <c r="F13">
        <v>490</v>
      </c>
      <c r="G13">
        <v>27</v>
      </c>
      <c r="H13" s="8">
        <v>189904</v>
      </c>
      <c r="I13" s="2" t="s">
        <v>128</v>
      </c>
      <c r="J13" s="2" t="s">
        <v>125</v>
      </c>
      <c r="L13" t="s">
        <v>146</v>
      </c>
    </row>
    <row r="14" spans="1:17" x14ac:dyDescent="0.35">
      <c r="A14" s="2" t="s">
        <v>160</v>
      </c>
      <c r="B14" s="2" t="s">
        <v>134</v>
      </c>
      <c r="C14" s="2" t="s">
        <v>123</v>
      </c>
      <c r="D14">
        <v>286</v>
      </c>
      <c r="E14">
        <v>135</v>
      </c>
      <c r="F14">
        <v>243</v>
      </c>
      <c r="G14">
        <v>17</v>
      </c>
      <c r="H14" s="8">
        <v>63545</v>
      </c>
      <c r="I14" s="2" t="s">
        <v>128</v>
      </c>
      <c r="J14" s="2" t="s">
        <v>132</v>
      </c>
      <c r="L14" t="s">
        <v>147</v>
      </c>
    </row>
    <row r="15" spans="1:17" x14ac:dyDescent="0.35">
      <c r="A15" s="2" t="s">
        <v>161</v>
      </c>
      <c r="B15" s="2" t="s">
        <v>130</v>
      </c>
      <c r="C15" s="2" t="s">
        <v>123</v>
      </c>
      <c r="D15">
        <v>62</v>
      </c>
      <c r="E15">
        <v>74</v>
      </c>
      <c r="F15">
        <v>384</v>
      </c>
      <c r="G15">
        <v>21</v>
      </c>
      <c r="H15" s="8">
        <v>75373</v>
      </c>
      <c r="I15" s="2" t="s">
        <v>124</v>
      </c>
      <c r="J15" s="2" t="s">
        <v>125</v>
      </c>
      <c r="L15" t="s">
        <v>148</v>
      </c>
    </row>
    <row r="16" spans="1:17" x14ac:dyDescent="0.35">
      <c r="A16" s="2" t="s">
        <v>162</v>
      </c>
      <c r="B16" s="2" t="s">
        <v>126</v>
      </c>
      <c r="C16" s="2" t="s">
        <v>136</v>
      </c>
      <c r="D16">
        <v>65</v>
      </c>
      <c r="E16">
        <v>97</v>
      </c>
      <c r="F16">
        <v>252</v>
      </c>
      <c r="G16">
        <v>3</v>
      </c>
      <c r="H16" s="8">
        <v>7194</v>
      </c>
      <c r="I16" s="2" t="s">
        <v>124</v>
      </c>
      <c r="J16" s="2" t="s">
        <v>125</v>
      </c>
      <c r="L16" t="s">
        <v>349</v>
      </c>
    </row>
    <row r="17" spans="1:10" x14ac:dyDescent="0.35">
      <c r="A17" s="2" t="s">
        <v>163</v>
      </c>
      <c r="B17" s="2" t="s">
        <v>134</v>
      </c>
      <c r="C17" s="2" t="s">
        <v>123</v>
      </c>
      <c r="D17">
        <v>379</v>
      </c>
      <c r="E17">
        <v>49</v>
      </c>
      <c r="F17">
        <v>441</v>
      </c>
      <c r="G17">
        <v>20</v>
      </c>
      <c r="H17" s="8">
        <v>162392</v>
      </c>
      <c r="I17" s="2" t="s">
        <v>128</v>
      </c>
      <c r="J17" s="2" t="s">
        <v>135</v>
      </c>
    </row>
    <row r="18" spans="1:10" x14ac:dyDescent="0.35">
      <c r="A18" s="2" t="s">
        <v>164</v>
      </c>
      <c r="B18" s="2" t="s">
        <v>139</v>
      </c>
      <c r="C18" s="2" t="s">
        <v>131</v>
      </c>
      <c r="D18">
        <v>194</v>
      </c>
      <c r="E18">
        <v>36</v>
      </c>
      <c r="F18">
        <v>75</v>
      </c>
      <c r="G18">
        <v>3</v>
      </c>
      <c r="H18" s="8">
        <v>24979</v>
      </c>
      <c r="I18" s="2" t="s">
        <v>124</v>
      </c>
      <c r="J18" s="2" t="s">
        <v>140</v>
      </c>
    </row>
    <row r="19" spans="1:10" x14ac:dyDescent="0.35">
      <c r="A19" s="2" t="s">
        <v>165</v>
      </c>
      <c r="B19" s="2" t="s">
        <v>130</v>
      </c>
      <c r="C19" s="2" t="s">
        <v>127</v>
      </c>
      <c r="D19">
        <v>101</v>
      </c>
      <c r="E19">
        <v>75</v>
      </c>
      <c r="F19">
        <v>484</v>
      </c>
      <c r="G19">
        <v>16</v>
      </c>
      <c r="H19" s="8">
        <v>170194</v>
      </c>
      <c r="I19" s="2" t="s">
        <v>124</v>
      </c>
      <c r="J19" s="2" t="s">
        <v>129</v>
      </c>
    </row>
    <row r="20" spans="1:10" x14ac:dyDescent="0.35">
      <c r="A20" s="2" t="s">
        <v>166</v>
      </c>
      <c r="B20" s="2" t="s">
        <v>137</v>
      </c>
      <c r="C20" s="2" t="s">
        <v>123</v>
      </c>
      <c r="D20">
        <v>259</v>
      </c>
      <c r="E20">
        <v>59</v>
      </c>
      <c r="F20">
        <v>222</v>
      </c>
      <c r="G20">
        <v>13</v>
      </c>
      <c r="H20" s="8">
        <v>69862</v>
      </c>
      <c r="I20" s="2" t="s">
        <v>124</v>
      </c>
      <c r="J20" s="2" t="s">
        <v>129</v>
      </c>
    </row>
    <row r="21" spans="1:10" x14ac:dyDescent="0.35">
      <c r="A21" s="2" t="s">
        <v>167</v>
      </c>
      <c r="B21" s="2" t="s">
        <v>126</v>
      </c>
      <c r="C21" s="2" t="s">
        <v>136</v>
      </c>
      <c r="D21">
        <v>358</v>
      </c>
      <c r="E21">
        <v>92</v>
      </c>
      <c r="F21">
        <v>349</v>
      </c>
      <c r="G21">
        <v>26</v>
      </c>
      <c r="H21" s="8">
        <v>112751</v>
      </c>
      <c r="I21" s="2" t="s">
        <v>128</v>
      </c>
      <c r="J21" s="2" t="s">
        <v>132</v>
      </c>
    </row>
    <row r="22" spans="1:10" x14ac:dyDescent="0.35">
      <c r="A22" s="2" t="s">
        <v>168</v>
      </c>
      <c r="B22" s="2" t="s">
        <v>139</v>
      </c>
      <c r="C22" s="2" t="s">
        <v>136</v>
      </c>
      <c r="D22">
        <v>136</v>
      </c>
      <c r="E22">
        <v>21</v>
      </c>
      <c r="F22">
        <v>182</v>
      </c>
      <c r="G22">
        <v>13</v>
      </c>
      <c r="H22" s="8">
        <v>65938</v>
      </c>
      <c r="I22" s="2" t="s">
        <v>124</v>
      </c>
      <c r="J22" s="2" t="s">
        <v>132</v>
      </c>
    </row>
    <row r="23" spans="1:10" x14ac:dyDescent="0.35">
      <c r="A23" s="2" t="s">
        <v>169</v>
      </c>
      <c r="B23" s="2" t="s">
        <v>139</v>
      </c>
      <c r="C23" s="2" t="s">
        <v>123</v>
      </c>
      <c r="D23">
        <v>299</v>
      </c>
      <c r="E23">
        <v>146</v>
      </c>
      <c r="F23">
        <v>375</v>
      </c>
      <c r="G23">
        <v>13</v>
      </c>
      <c r="H23" s="8">
        <v>79656</v>
      </c>
      <c r="I23" s="2" t="s">
        <v>128</v>
      </c>
      <c r="J23" s="2" t="s">
        <v>129</v>
      </c>
    </row>
    <row r="24" spans="1:10" x14ac:dyDescent="0.35">
      <c r="A24" s="2" t="s">
        <v>170</v>
      </c>
      <c r="B24" s="2" t="s">
        <v>137</v>
      </c>
      <c r="C24" s="2" t="s">
        <v>127</v>
      </c>
      <c r="D24">
        <v>84</v>
      </c>
      <c r="E24">
        <v>148</v>
      </c>
      <c r="F24">
        <v>459</v>
      </c>
      <c r="G24">
        <v>4</v>
      </c>
      <c r="H24" s="8">
        <v>125012</v>
      </c>
      <c r="I24" s="2" t="s">
        <v>128</v>
      </c>
      <c r="J24" s="2" t="s">
        <v>140</v>
      </c>
    </row>
    <row r="25" spans="1:10" x14ac:dyDescent="0.35">
      <c r="A25" s="2" t="s">
        <v>171</v>
      </c>
      <c r="B25" s="2" t="s">
        <v>126</v>
      </c>
      <c r="C25" s="2" t="s">
        <v>123</v>
      </c>
      <c r="D25">
        <v>71</v>
      </c>
      <c r="E25">
        <v>108</v>
      </c>
      <c r="F25">
        <v>167</v>
      </c>
      <c r="G25">
        <v>13</v>
      </c>
      <c r="H25" s="8">
        <v>34285</v>
      </c>
      <c r="I25" s="2" t="s">
        <v>128</v>
      </c>
      <c r="J25" s="2" t="s">
        <v>129</v>
      </c>
    </row>
    <row r="26" spans="1:10" x14ac:dyDescent="0.35">
      <c r="A26" s="2" t="s">
        <v>172</v>
      </c>
      <c r="B26" s="2" t="s">
        <v>130</v>
      </c>
      <c r="C26" s="2" t="s">
        <v>136</v>
      </c>
      <c r="D26">
        <v>263</v>
      </c>
      <c r="E26">
        <v>85</v>
      </c>
      <c r="F26">
        <v>373</v>
      </c>
      <c r="G26">
        <v>25</v>
      </c>
      <c r="H26" s="8">
        <v>14805</v>
      </c>
      <c r="I26" s="2" t="s">
        <v>124</v>
      </c>
      <c r="J26" s="2" t="s">
        <v>140</v>
      </c>
    </row>
    <row r="27" spans="1:10" x14ac:dyDescent="0.35">
      <c r="A27" s="2" t="s">
        <v>173</v>
      </c>
      <c r="B27" s="2" t="s">
        <v>141</v>
      </c>
      <c r="C27" s="2" t="s">
        <v>138</v>
      </c>
      <c r="D27">
        <v>266</v>
      </c>
      <c r="E27">
        <v>53</v>
      </c>
      <c r="F27">
        <v>324</v>
      </c>
      <c r="G27">
        <v>3</v>
      </c>
      <c r="H27" s="8">
        <v>125069</v>
      </c>
      <c r="I27" s="2" t="s">
        <v>124</v>
      </c>
      <c r="J27" s="2" t="s">
        <v>132</v>
      </c>
    </row>
    <row r="28" spans="1:10" x14ac:dyDescent="0.35">
      <c r="A28" s="2" t="s">
        <v>174</v>
      </c>
      <c r="B28" s="2" t="s">
        <v>126</v>
      </c>
      <c r="C28" s="2" t="s">
        <v>131</v>
      </c>
      <c r="D28">
        <v>305</v>
      </c>
      <c r="E28">
        <v>124</v>
      </c>
      <c r="F28">
        <v>261</v>
      </c>
      <c r="G28">
        <v>19</v>
      </c>
      <c r="H28" s="8">
        <v>41723</v>
      </c>
      <c r="I28" s="2" t="s">
        <v>128</v>
      </c>
      <c r="J28" s="2" t="s">
        <v>133</v>
      </c>
    </row>
    <row r="29" spans="1:10" x14ac:dyDescent="0.35">
      <c r="A29" s="2" t="s">
        <v>175</v>
      </c>
      <c r="B29" s="2" t="s">
        <v>137</v>
      </c>
      <c r="C29" s="2" t="s">
        <v>136</v>
      </c>
      <c r="D29">
        <v>340</v>
      </c>
      <c r="E29">
        <v>106</v>
      </c>
      <c r="F29">
        <v>274</v>
      </c>
      <c r="G29">
        <v>19</v>
      </c>
      <c r="H29" s="8">
        <v>89432</v>
      </c>
      <c r="I29" s="2" t="s">
        <v>128</v>
      </c>
      <c r="J29" s="2" t="s">
        <v>135</v>
      </c>
    </row>
    <row r="30" spans="1:10" x14ac:dyDescent="0.35">
      <c r="A30" s="2" t="s">
        <v>176</v>
      </c>
      <c r="B30" s="2" t="s">
        <v>139</v>
      </c>
      <c r="C30" s="2" t="s">
        <v>123</v>
      </c>
      <c r="D30">
        <v>440</v>
      </c>
      <c r="E30">
        <v>33</v>
      </c>
      <c r="F30">
        <v>69</v>
      </c>
      <c r="G30">
        <v>2</v>
      </c>
      <c r="H30" s="8">
        <v>26311</v>
      </c>
      <c r="I30" s="2" t="s">
        <v>128</v>
      </c>
      <c r="J30" s="2" t="s">
        <v>132</v>
      </c>
    </row>
    <row r="31" spans="1:10" x14ac:dyDescent="0.35">
      <c r="A31" s="2" t="s">
        <v>177</v>
      </c>
      <c r="B31" s="2" t="s">
        <v>130</v>
      </c>
      <c r="C31" s="2" t="s">
        <v>131</v>
      </c>
      <c r="D31">
        <v>257</v>
      </c>
      <c r="E31">
        <v>138</v>
      </c>
      <c r="F31">
        <v>162</v>
      </c>
      <c r="G31">
        <v>7</v>
      </c>
      <c r="H31" s="8">
        <v>31613</v>
      </c>
      <c r="I31" s="2" t="s">
        <v>128</v>
      </c>
      <c r="J31" s="2" t="s">
        <v>132</v>
      </c>
    </row>
    <row r="32" spans="1:10" x14ac:dyDescent="0.35">
      <c r="A32" s="2" t="s">
        <v>178</v>
      </c>
      <c r="B32" s="2" t="s">
        <v>126</v>
      </c>
      <c r="C32" s="2" t="s">
        <v>123</v>
      </c>
      <c r="D32">
        <v>179</v>
      </c>
      <c r="E32">
        <v>125</v>
      </c>
      <c r="F32">
        <v>189</v>
      </c>
      <c r="G32">
        <v>6</v>
      </c>
      <c r="H32" s="8">
        <v>55185</v>
      </c>
      <c r="I32" s="2" t="s">
        <v>128</v>
      </c>
      <c r="J32" s="2" t="s">
        <v>125</v>
      </c>
    </row>
    <row r="33" spans="1:10" x14ac:dyDescent="0.35">
      <c r="A33" s="2" t="s">
        <v>179</v>
      </c>
      <c r="B33" s="2" t="s">
        <v>141</v>
      </c>
      <c r="C33" s="2" t="s">
        <v>123</v>
      </c>
      <c r="D33">
        <v>368</v>
      </c>
      <c r="E33">
        <v>143</v>
      </c>
      <c r="F33">
        <v>96</v>
      </c>
      <c r="G33">
        <v>0</v>
      </c>
      <c r="H33" s="8">
        <v>36372</v>
      </c>
      <c r="I33" s="2" t="s">
        <v>128</v>
      </c>
      <c r="J33" s="2" t="s">
        <v>125</v>
      </c>
    </row>
    <row r="34" spans="1:10" x14ac:dyDescent="0.35">
      <c r="A34" s="2" t="s">
        <v>180</v>
      </c>
      <c r="B34" s="2" t="s">
        <v>141</v>
      </c>
      <c r="C34" s="2" t="s">
        <v>138</v>
      </c>
      <c r="D34">
        <v>158</v>
      </c>
      <c r="E34">
        <v>112</v>
      </c>
      <c r="F34">
        <v>50</v>
      </c>
      <c r="G34">
        <v>1</v>
      </c>
      <c r="H34" s="8">
        <v>7924</v>
      </c>
      <c r="I34" s="2" t="s">
        <v>128</v>
      </c>
      <c r="J34" s="2" t="s">
        <v>125</v>
      </c>
    </row>
    <row r="35" spans="1:10" x14ac:dyDescent="0.35">
      <c r="A35" s="2" t="s">
        <v>181</v>
      </c>
      <c r="B35" s="2" t="s">
        <v>134</v>
      </c>
      <c r="C35" s="2" t="s">
        <v>131</v>
      </c>
      <c r="D35">
        <v>226</v>
      </c>
      <c r="E35">
        <v>96</v>
      </c>
      <c r="F35">
        <v>139</v>
      </c>
      <c r="G35">
        <v>8</v>
      </c>
      <c r="H35" s="8">
        <v>45085</v>
      </c>
      <c r="I35" s="2" t="s">
        <v>124</v>
      </c>
      <c r="J35" s="2" t="s">
        <v>135</v>
      </c>
    </row>
    <row r="36" spans="1:10" x14ac:dyDescent="0.35">
      <c r="A36" s="2" t="s">
        <v>182</v>
      </c>
      <c r="B36" s="2" t="s">
        <v>134</v>
      </c>
      <c r="C36" s="2" t="s">
        <v>131</v>
      </c>
      <c r="D36">
        <v>81</v>
      </c>
      <c r="E36">
        <v>69</v>
      </c>
      <c r="F36">
        <v>191</v>
      </c>
      <c r="G36">
        <v>0</v>
      </c>
      <c r="H36" s="8">
        <v>42848</v>
      </c>
      <c r="I36" s="2" t="s">
        <v>124</v>
      </c>
      <c r="J36" s="2" t="s">
        <v>125</v>
      </c>
    </row>
    <row r="37" spans="1:10" x14ac:dyDescent="0.35">
      <c r="A37" s="2" t="s">
        <v>183</v>
      </c>
      <c r="B37" s="2" t="s">
        <v>122</v>
      </c>
      <c r="C37" s="2" t="s">
        <v>138</v>
      </c>
      <c r="D37">
        <v>60</v>
      </c>
      <c r="E37">
        <v>141</v>
      </c>
      <c r="F37">
        <v>369</v>
      </c>
      <c r="G37">
        <v>9</v>
      </c>
      <c r="H37" s="8">
        <v>140626</v>
      </c>
      <c r="I37" s="2" t="s">
        <v>128</v>
      </c>
      <c r="J37" s="2" t="s">
        <v>140</v>
      </c>
    </row>
    <row r="38" spans="1:10" x14ac:dyDescent="0.35">
      <c r="A38" s="2" t="s">
        <v>184</v>
      </c>
      <c r="B38" s="2" t="s">
        <v>137</v>
      </c>
      <c r="C38" s="2" t="s">
        <v>136</v>
      </c>
      <c r="D38">
        <v>435</v>
      </c>
      <c r="E38">
        <v>131</v>
      </c>
      <c r="F38">
        <v>87</v>
      </c>
      <c r="G38">
        <v>2</v>
      </c>
      <c r="H38" s="8">
        <v>34171</v>
      </c>
      <c r="I38" s="2" t="s">
        <v>128</v>
      </c>
      <c r="J38" s="2" t="s">
        <v>129</v>
      </c>
    </row>
    <row r="39" spans="1:10" x14ac:dyDescent="0.35">
      <c r="A39" s="2" t="s">
        <v>185</v>
      </c>
      <c r="B39" s="2" t="s">
        <v>126</v>
      </c>
      <c r="C39" s="2" t="s">
        <v>123</v>
      </c>
      <c r="D39">
        <v>384</v>
      </c>
      <c r="E39">
        <v>16</v>
      </c>
      <c r="F39">
        <v>342</v>
      </c>
      <c r="G39">
        <v>14</v>
      </c>
      <c r="H39" s="8">
        <v>132035</v>
      </c>
      <c r="I39" s="2" t="s">
        <v>128</v>
      </c>
      <c r="J39" s="2" t="s">
        <v>133</v>
      </c>
    </row>
    <row r="40" spans="1:10" x14ac:dyDescent="0.35">
      <c r="A40" s="2" t="s">
        <v>186</v>
      </c>
      <c r="B40" s="2" t="s">
        <v>126</v>
      </c>
      <c r="C40" s="2" t="s">
        <v>127</v>
      </c>
      <c r="D40">
        <v>328</v>
      </c>
      <c r="E40">
        <v>14</v>
      </c>
      <c r="F40">
        <v>431</v>
      </c>
      <c r="G40">
        <v>31</v>
      </c>
      <c r="H40" s="8">
        <v>115747</v>
      </c>
      <c r="I40" s="2" t="s">
        <v>124</v>
      </c>
      <c r="J40" s="2" t="s">
        <v>132</v>
      </c>
    </row>
    <row r="41" spans="1:10" x14ac:dyDescent="0.35">
      <c r="A41" s="2" t="s">
        <v>187</v>
      </c>
      <c r="B41" s="2" t="s">
        <v>122</v>
      </c>
      <c r="C41" s="2" t="s">
        <v>123</v>
      </c>
      <c r="D41">
        <v>214</v>
      </c>
      <c r="E41">
        <v>63</v>
      </c>
      <c r="F41">
        <v>188</v>
      </c>
      <c r="G41">
        <v>5</v>
      </c>
      <c r="H41" s="8">
        <v>68716</v>
      </c>
      <c r="I41" s="2" t="s">
        <v>124</v>
      </c>
      <c r="J41" s="2" t="s">
        <v>140</v>
      </c>
    </row>
    <row r="42" spans="1:10" x14ac:dyDescent="0.35">
      <c r="A42" s="2" t="s">
        <v>188</v>
      </c>
      <c r="B42" s="2" t="s">
        <v>139</v>
      </c>
      <c r="C42" s="2" t="s">
        <v>123</v>
      </c>
      <c r="D42">
        <v>119</v>
      </c>
      <c r="E42">
        <v>123</v>
      </c>
      <c r="F42">
        <v>405</v>
      </c>
      <c r="G42">
        <v>11</v>
      </c>
      <c r="H42" s="8">
        <v>146261</v>
      </c>
      <c r="I42" s="2" t="s">
        <v>128</v>
      </c>
      <c r="J42" s="2" t="s">
        <v>133</v>
      </c>
    </row>
    <row r="43" spans="1:10" x14ac:dyDescent="0.35">
      <c r="A43" s="2" t="s">
        <v>189</v>
      </c>
      <c r="B43" s="2" t="s">
        <v>139</v>
      </c>
      <c r="C43" s="2" t="s">
        <v>136</v>
      </c>
      <c r="D43">
        <v>113</v>
      </c>
      <c r="E43">
        <v>148</v>
      </c>
      <c r="F43">
        <v>382</v>
      </c>
      <c r="G43">
        <v>22</v>
      </c>
      <c r="H43" s="8">
        <v>87774</v>
      </c>
      <c r="I43" s="2" t="s">
        <v>128</v>
      </c>
      <c r="J43" s="2" t="s">
        <v>140</v>
      </c>
    </row>
    <row r="44" spans="1:10" x14ac:dyDescent="0.35">
      <c r="A44" s="2" t="s">
        <v>190</v>
      </c>
      <c r="B44" s="2" t="s">
        <v>122</v>
      </c>
      <c r="C44" s="2" t="s">
        <v>123</v>
      </c>
      <c r="D44">
        <v>150</v>
      </c>
      <c r="E44">
        <v>31</v>
      </c>
      <c r="F44">
        <v>308</v>
      </c>
      <c r="G44">
        <v>11</v>
      </c>
      <c r="H44" s="8">
        <v>110026</v>
      </c>
      <c r="I44" s="2" t="s">
        <v>124</v>
      </c>
      <c r="J44" s="2" t="s">
        <v>140</v>
      </c>
    </row>
    <row r="45" spans="1:10" x14ac:dyDescent="0.35">
      <c r="A45" s="2" t="s">
        <v>191</v>
      </c>
      <c r="B45" s="2" t="s">
        <v>139</v>
      </c>
      <c r="C45" s="2" t="s">
        <v>138</v>
      </c>
      <c r="D45">
        <v>270</v>
      </c>
      <c r="E45">
        <v>93</v>
      </c>
      <c r="F45">
        <v>210</v>
      </c>
      <c r="G45">
        <v>3</v>
      </c>
      <c r="H45" s="8">
        <v>33443</v>
      </c>
      <c r="I45" s="2" t="s">
        <v>124</v>
      </c>
      <c r="J45" s="2" t="s">
        <v>132</v>
      </c>
    </row>
    <row r="46" spans="1:10" x14ac:dyDescent="0.35">
      <c r="A46" s="2" t="s">
        <v>192</v>
      </c>
      <c r="B46" s="2" t="s">
        <v>134</v>
      </c>
      <c r="C46" s="2" t="s">
        <v>138</v>
      </c>
      <c r="D46">
        <v>336</v>
      </c>
      <c r="E46">
        <v>63</v>
      </c>
      <c r="F46">
        <v>439</v>
      </c>
      <c r="G46">
        <v>15</v>
      </c>
      <c r="H46" s="8">
        <v>131291</v>
      </c>
      <c r="I46" s="2" t="s">
        <v>124</v>
      </c>
      <c r="J46" s="2" t="s">
        <v>129</v>
      </c>
    </row>
    <row r="47" spans="1:10" x14ac:dyDescent="0.35">
      <c r="A47" s="2" t="s">
        <v>193</v>
      </c>
      <c r="B47" s="2" t="s">
        <v>126</v>
      </c>
      <c r="C47" s="2" t="s">
        <v>131</v>
      </c>
      <c r="D47">
        <v>314</v>
      </c>
      <c r="E47">
        <v>146</v>
      </c>
      <c r="F47">
        <v>227</v>
      </c>
      <c r="G47">
        <v>2</v>
      </c>
      <c r="H47" s="8">
        <v>47103</v>
      </c>
      <c r="I47" s="2" t="s">
        <v>128</v>
      </c>
      <c r="J47" s="2" t="s">
        <v>125</v>
      </c>
    </row>
    <row r="48" spans="1:10" x14ac:dyDescent="0.35">
      <c r="A48" s="2" t="s">
        <v>194</v>
      </c>
      <c r="B48" s="2" t="s">
        <v>122</v>
      </c>
      <c r="C48" s="2" t="s">
        <v>127</v>
      </c>
      <c r="D48">
        <v>162</v>
      </c>
      <c r="E48">
        <v>128</v>
      </c>
      <c r="F48">
        <v>59</v>
      </c>
      <c r="G48">
        <v>0</v>
      </c>
      <c r="H48" s="8">
        <v>10628</v>
      </c>
      <c r="I48" s="2" t="s">
        <v>128</v>
      </c>
      <c r="J48" s="2" t="s">
        <v>135</v>
      </c>
    </row>
    <row r="49" spans="1:10" x14ac:dyDescent="0.35">
      <c r="A49" s="2" t="s">
        <v>195</v>
      </c>
      <c r="B49" s="2" t="s">
        <v>126</v>
      </c>
      <c r="C49" s="2" t="s">
        <v>123</v>
      </c>
      <c r="D49">
        <v>432</v>
      </c>
      <c r="E49">
        <v>127</v>
      </c>
      <c r="F49">
        <v>310</v>
      </c>
      <c r="G49">
        <v>12</v>
      </c>
      <c r="H49" s="8">
        <v>52464</v>
      </c>
      <c r="I49" s="2" t="s">
        <v>128</v>
      </c>
      <c r="J49" s="2" t="s">
        <v>129</v>
      </c>
    </row>
    <row r="50" spans="1:10" x14ac:dyDescent="0.35">
      <c r="A50" s="2" t="s">
        <v>196</v>
      </c>
      <c r="B50" s="2" t="s">
        <v>141</v>
      </c>
      <c r="C50" s="2" t="s">
        <v>123</v>
      </c>
      <c r="D50">
        <v>345</v>
      </c>
      <c r="E50">
        <v>76</v>
      </c>
      <c r="F50">
        <v>456</v>
      </c>
      <c r="G50">
        <v>15</v>
      </c>
      <c r="H50" s="8">
        <v>147777</v>
      </c>
      <c r="I50" s="2" t="s">
        <v>124</v>
      </c>
      <c r="J50" s="2" t="s">
        <v>135</v>
      </c>
    </row>
    <row r="51" spans="1:10" x14ac:dyDescent="0.35">
      <c r="A51" s="2" t="s">
        <v>197</v>
      </c>
      <c r="B51" s="2" t="s">
        <v>134</v>
      </c>
      <c r="C51" s="2" t="s">
        <v>136</v>
      </c>
      <c r="D51">
        <v>272</v>
      </c>
      <c r="E51">
        <v>68</v>
      </c>
      <c r="F51">
        <v>187</v>
      </c>
      <c r="G51">
        <v>13</v>
      </c>
      <c r="H51" s="8">
        <v>43939</v>
      </c>
      <c r="I51" s="2" t="s">
        <v>124</v>
      </c>
      <c r="J51" s="2" t="s">
        <v>132</v>
      </c>
    </row>
    <row r="52" spans="1:10" x14ac:dyDescent="0.35">
      <c r="A52" s="2" t="s">
        <v>198</v>
      </c>
      <c r="B52" s="2" t="s">
        <v>130</v>
      </c>
      <c r="C52" s="2" t="s">
        <v>138</v>
      </c>
      <c r="D52">
        <v>295</v>
      </c>
      <c r="E52">
        <v>48</v>
      </c>
      <c r="F52">
        <v>221</v>
      </c>
      <c r="G52">
        <v>6</v>
      </c>
      <c r="H52" s="8">
        <v>73193</v>
      </c>
      <c r="I52" s="2" t="s">
        <v>124</v>
      </c>
      <c r="J52" s="2" t="s">
        <v>132</v>
      </c>
    </row>
    <row r="53" spans="1:10" x14ac:dyDescent="0.35">
      <c r="A53" s="2" t="s">
        <v>199</v>
      </c>
      <c r="B53" s="2" t="s">
        <v>134</v>
      </c>
      <c r="C53" s="2" t="s">
        <v>127</v>
      </c>
      <c r="D53">
        <v>218</v>
      </c>
      <c r="E53">
        <v>18</v>
      </c>
      <c r="F53">
        <v>435</v>
      </c>
      <c r="G53">
        <v>20</v>
      </c>
      <c r="H53" s="8">
        <v>72358</v>
      </c>
      <c r="I53" s="2" t="s">
        <v>124</v>
      </c>
      <c r="J53" s="2" t="s">
        <v>132</v>
      </c>
    </row>
    <row r="54" spans="1:10" x14ac:dyDescent="0.35">
      <c r="A54" s="2" t="s">
        <v>200</v>
      </c>
      <c r="B54" s="2" t="s">
        <v>122</v>
      </c>
      <c r="C54" s="2" t="s">
        <v>131</v>
      </c>
      <c r="D54">
        <v>149</v>
      </c>
      <c r="E54">
        <v>131</v>
      </c>
      <c r="F54">
        <v>62</v>
      </c>
      <c r="G54">
        <v>3</v>
      </c>
      <c r="H54" s="8">
        <v>14187</v>
      </c>
      <c r="I54" s="2" t="s">
        <v>128</v>
      </c>
      <c r="J54" s="2" t="s">
        <v>133</v>
      </c>
    </row>
    <row r="55" spans="1:10" x14ac:dyDescent="0.35">
      <c r="A55" s="2" t="s">
        <v>201</v>
      </c>
      <c r="B55" s="2" t="s">
        <v>130</v>
      </c>
      <c r="C55" s="2" t="s">
        <v>138</v>
      </c>
      <c r="D55">
        <v>192</v>
      </c>
      <c r="E55">
        <v>124</v>
      </c>
      <c r="F55">
        <v>217</v>
      </c>
      <c r="G55">
        <v>0</v>
      </c>
      <c r="H55" s="8">
        <v>61817</v>
      </c>
      <c r="I55" s="2" t="s">
        <v>128</v>
      </c>
      <c r="J55" s="2" t="s">
        <v>135</v>
      </c>
    </row>
    <row r="56" spans="1:10" x14ac:dyDescent="0.35">
      <c r="A56" s="2" t="s">
        <v>202</v>
      </c>
      <c r="B56" s="2" t="s">
        <v>141</v>
      </c>
      <c r="C56" s="2" t="s">
        <v>131</v>
      </c>
      <c r="D56">
        <v>353</v>
      </c>
      <c r="E56">
        <v>150</v>
      </c>
      <c r="F56">
        <v>179</v>
      </c>
      <c r="G56">
        <v>9</v>
      </c>
      <c r="H56" s="8">
        <v>62235</v>
      </c>
      <c r="I56" s="2" t="s">
        <v>128</v>
      </c>
      <c r="J56" s="2" t="s">
        <v>129</v>
      </c>
    </row>
    <row r="57" spans="1:10" x14ac:dyDescent="0.35">
      <c r="A57" s="2" t="s">
        <v>203</v>
      </c>
      <c r="B57" s="2" t="s">
        <v>122</v>
      </c>
      <c r="C57" s="2" t="s">
        <v>136</v>
      </c>
      <c r="D57">
        <v>56</v>
      </c>
      <c r="E57">
        <v>150</v>
      </c>
      <c r="F57">
        <v>133</v>
      </c>
      <c r="G57">
        <v>1</v>
      </c>
      <c r="H57" s="8">
        <v>30549</v>
      </c>
      <c r="I57" s="2" t="s">
        <v>128</v>
      </c>
      <c r="J57" s="2" t="s">
        <v>129</v>
      </c>
    </row>
    <row r="58" spans="1:10" x14ac:dyDescent="0.35">
      <c r="A58" s="2" t="s">
        <v>204</v>
      </c>
      <c r="B58" s="2" t="s">
        <v>137</v>
      </c>
      <c r="C58" s="2" t="s">
        <v>136</v>
      </c>
      <c r="D58">
        <v>96</v>
      </c>
      <c r="E58">
        <v>88</v>
      </c>
      <c r="F58">
        <v>370</v>
      </c>
      <c r="G58">
        <v>28</v>
      </c>
      <c r="H58" s="8">
        <v>113395</v>
      </c>
      <c r="I58" s="2" t="s">
        <v>124</v>
      </c>
      <c r="J58" s="2" t="s">
        <v>140</v>
      </c>
    </row>
    <row r="59" spans="1:10" x14ac:dyDescent="0.35">
      <c r="A59" s="2" t="s">
        <v>205</v>
      </c>
      <c r="B59" s="2" t="s">
        <v>126</v>
      </c>
      <c r="C59" s="2" t="s">
        <v>123</v>
      </c>
      <c r="D59">
        <v>68</v>
      </c>
      <c r="E59">
        <v>118</v>
      </c>
      <c r="F59">
        <v>368</v>
      </c>
      <c r="G59">
        <v>4</v>
      </c>
      <c r="H59" s="8">
        <v>13671</v>
      </c>
      <c r="I59" s="2" t="s">
        <v>128</v>
      </c>
      <c r="J59" s="2" t="s">
        <v>140</v>
      </c>
    </row>
    <row r="60" spans="1:10" x14ac:dyDescent="0.35">
      <c r="A60" s="2" t="s">
        <v>206</v>
      </c>
      <c r="B60" s="2" t="s">
        <v>141</v>
      </c>
      <c r="C60" s="2" t="s">
        <v>127</v>
      </c>
      <c r="D60">
        <v>66</v>
      </c>
      <c r="E60">
        <v>142</v>
      </c>
      <c r="F60">
        <v>150</v>
      </c>
      <c r="G60">
        <v>4</v>
      </c>
      <c r="H60" s="8">
        <v>45595</v>
      </c>
      <c r="I60" s="2" t="s">
        <v>128</v>
      </c>
      <c r="J60" s="2" t="s">
        <v>140</v>
      </c>
    </row>
    <row r="61" spans="1:10" x14ac:dyDescent="0.35">
      <c r="A61" s="2" t="s">
        <v>207</v>
      </c>
      <c r="B61" s="2" t="s">
        <v>126</v>
      </c>
      <c r="C61" s="2" t="s">
        <v>131</v>
      </c>
      <c r="D61">
        <v>392</v>
      </c>
      <c r="E61">
        <v>129</v>
      </c>
      <c r="F61">
        <v>378</v>
      </c>
      <c r="G61">
        <v>2</v>
      </c>
      <c r="H61" s="8">
        <v>78715</v>
      </c>
      <c r="I61" s="2" t="s">
        <v>128</v>
      </c>
      <c r="J61" s="2" t="s">
        <v>132</v>
      </c>
    </row>
    <row r="62" spans="1:10" x14ac:dyDescent="0.35">
      <c r="A62" s="2" t="s">
        <v>208</v>
      </c>
      <c r="B62" s="2" t="s">
        <v>139</v>
      </c>
      <c r="C62" s="2" t="s">
        <v>138</v>
      </c>
      <c r="D62">
        <v>331</v>
      </c>
      <c r="E62">
        <v>45</v>
      </c>
      <c r="F62">
        <v>322</v>
      </c>
      <c r="G62">
        <v>25</v>
      </c>
      <c r="H62" s="8">
        <v>50264</v>
      </c>
      <c r="I62" s="2" t="s">
        <v>124</v>
      </c>
      <c r="J62" s="2" t="s">
        <v>129</v>
      </c>
    </row>
    <row r="63" spans="1:10" x14ac:dyDescent="0.35">
      <c r="A63" s="2" t="s">
        <v>209</v>
      </c>
      <c r="B63" s="2" t="s">
        <v>137</v>
      </c>
      <c r="C63" s="2" t="s">
        <v>136</v>
      </c>
      <c r="D63">
        <v>240</v>
      </c>
      <c r="E63">
        <v>73</v>
      </c>
      <c r="F63">
        <v>314</v>
      </c>
      <c r="G63">
        <v>12</v>
      </c>
      <c r="H63" s="8">
        <v>115403</v>
      </c>
      <c r="I63" s="2" t="s">
        <v>124</v>
      </c>
      <c r="J63" s="2" t="s">
        <v>135</v>
      </c>
    </row>
    <row r="64" spans="1:10" x14ac:dyDescent="0.35">
      <c r="A64" s="2" t="s">
        <v>210</v>
      </c>
      <c r="B64" s="2" t="s">
        <v>137</v>
      </c>
      <c r="C64" s="2" t="s">
        <v>123</v>
      </c>
      <c r="D64">
        <v>89</v>
      </c>
      <c r="E64">
        <v>28</v>
      </c>
      <c r="F64">
        <v>448</v>
      </c>
      <c r="G64">
        <v>21</v>
      </c>
      <c r="H64" s="8">
        <v>69582</v>
      </c>
      <c r="I64" s="2" t="s">
        <v>124</v>
      </c>
      <c r="J64" s="2" t="s">
        <v>132</v>
      </c>
    </row>
    <row r="65" spans="1:10" x14ac:dyDescent="0.35">
      <c r="A65" s="2" t="s">
        <v>211</v>
      </c>
      <c r="B65" s="2" t="s">
        <v>141</v>
      </c>
      <c r="C65" s="2" t="s">
        <v>123</v>
      </c>
      <c r="D65">
        <v>247</v>
      </c>
      <c r="E65">
        <v>144</v>
      </c>
      <c r="F65">
        <v>457</v>
      </c>
      <c r="G65">
        <v>2</v>
      </c>
      <c r="H65" s="8">
        <v>168485</v>
      </c>
      <c r="I65" s="2" t="s">
        <v>128</v>
      </c>
      <c r="J65" s="2" t="s">
        <v>133</v>
      </c>
    </row>
    <row r="66" spans="1:10" x14ac:dyDescent="0.35">
      <c r="A66" s="2" t="s">
        <v>212</v>
      </c>
      <c r="B66" s="2" t="s">
        <v>137</v>
      </c>
      <c r="C66" s="2" t="s">
        <v>131</v>
      </c>
      <c r="D66">
        <v>239</v>
      </c>
      <c r="E66">
        <v>95</v>
      </c>
      <c r="F66">
        <v>87</v>
      </c>
      <c r="G66">
        <v>5</v>
      </c>
      <c r="H66" s="8">
        <v>24554</v>
      </c>
      <c r="I66" s="2" t="s">
        <v>124</v>
      </c>
      <c r="J66" s="2" t="s">
        <v>140</v>
      </c>
    </row>
    <row r="67" spans="1:10" x14ac:dyDescent="0.35">
      <c r="A67" s="2" t="s">
        <v>213</v>
      </c>
      <c r="B67" s="2" t="s">
        <v>130</v>
      </c>
      <c r="C67" s="2" t="s">
        <v>136</v>
      </c>
      <c r="D67">
        <v>119</v>
      </c>
      <c r="E67">
        <v>42</v>
      </c>
      <c r="F67">
        <v>468</v>
      </c>
      <c r="G67">
        <v>7</v>
      </c>
      <c r="H67" s="8">
        <v>180071</v>
      </c>
      <c r="I67" s="2" t="s">
        <v>124</v>
      </c>
      <c r="J67" s="2" t="s">
        <v>132</v>
      </c>
    </row>
    <row r="68" spans="1:10" x14ac:dyDescent="0.35">
      <c r="A68" s="2" t="s">
        <v>214</v>
      </c>
      <c r="B68" s="2" t="s">
        <v>137</v>
      </c>
      <c r="C68" s="2" t="s">
        <v>127</v>
      </c>
      <c r="D68">
        <v>224</v>
      </c>
      <c r="E68">
        <v>104</v>
      </c>
      <c r="F68">
        <v>143</v>
      </c>
      <c r="G68">
        <v>10</v>
      </c>
      <c r="H68" s="8">
        <v>50007</v>
      </c>
      <c r="I68" s="2" t="s">
        <v>128</v>
      </c>
      <c r="J68" s="2" t="s">
        <v>132</v>
      </c>
    </row>
    <row r="69" spans="1:10" x14ac:dyDescent="0.35">
      <c r="A69" s="2" t="s">
        <v>215</v>
      </c>
      <c r="B69" s="2" t="s">
        <v>126</v>
      </c>
      <c r="C69" s="2" t="s">
        <v>136</v>
      </c>
      <c r="D69">
        <v>209</v>
      </c>
      <c r="E69">
        <v>97</v>
      </c>
      <c r="F69">
        <v>144</v>
      </c>
      <c r="G69">
        <v>2</v>
      </c>
      <c r="H69" s="8">
        <v>57526</v>
      </c>
      <c r="I69" s="2" t="s">
        <v>124</v>
      </c>
      <c r="J69" s="2" t="s">
        <v>133</v>
      </c>
    </row>
    <row r="70" spans="1:10" x14ac:dyDescent="0.35">
      <c r="A70" s="2" t="s">
        <v>216</v>
      </c>
      <c r="B70" s="2" t="s">
        <v>126</v>
      </c>
      <c r="C70" s="2" t="s">
        <v>131</v>
      </c>
      <c r="D70">
        <v>296</v>
      </c>
      <c r="E70">
        <v>60</v>
      </c>
      <c r="F70">
        <v>354</v>
      </c>
      <c r="G70">
        <v>5</v>
      </c>
      <c r="H70" s="8">
        <v>84138</v>
      </c>
      <c r="I70" s="2" t="s">
        <v>124</v>
      </c>
      <c r="J70" s="2" t="s">
        <v>125</v>
      </c>
    </row>
    <row r="71" spans="1:10" x14ac:dyDescent="0.35">
      <c r="A71" s="2" t="s">
        <v>217</v>
      </c>
      <c r="B71" s="2" t="s">
        <v>122</v>
      </c>
      <c r="C71" s="2" t="s">
        <v>131</v>
      </c>
      <c r="D71">
        <v>304</v>
      </c>
      <c r="E71">
        <v>26</v>
      </c>
      <c r="F71">
        <v>118</v>
      </c>
      <c r="G71">
        <v>0</v>
      </c>
      <c r="H71" s="8">
        <v>40332</v>
      </c>
      <c r="I71" s="2" t="s">
        <v>124</v>
      </c>
      <c r="J71" s="2" t="s">
        <v>129</v>
      </c>
    </row>
    <row r="72" spans="1:10" x14ac:dyDescent="0.35">
      <c r="A72" s="2" t="s">
        <v>218</v>
      </c>
      <c r="B72" s="2" t="s">
        <v>126</v>
      </c>
      <c r="C72" s="2" t="s">
        <v>136</v>
      </c>
      <c r="D72">
        <v>68</v>
      </c>
      <c r="E72">
        <v>104</v>
      </c>
      <c r="F72">
        <v>367</v>
      </c>
      <c r="G72">
        <v>13</v>
      </c>
      <c r="H72" s="8">
        <v>91927</v>
      </c>
      <c r="I72" s="2" t="s">
        <v>128</v>
      </c>
      <c r="J72" s="2" t="s">
        <v>135</v>
      </c>
    </row>
    <row r="73" spans="1:10" x14ac:dyDescent="0.35">
      <c r="A73" s="2" t="s">
        <v>219</v>
      </c>
      <c r="B73" s="2" t="s">
        <v>122</v>
      </c>
      <c r="C73" s="2" t="s">
        <v>131</v>
      </c>
      <c r="D73">
        <v>200</v>
      </c>
      <c r="E73">
        <v>83</v>
      </c>
      <c r="F73">
        <v>493</v>
      </c>
      <c r="G73">
        <v>22</v>
      </c>
      <c r="H73" s="8">
        <v>133095</v>
      </c>
      <c r="I73" s="2" t="s">
        <v>124</v>
      </c>
      <c r="J73" s="2" t="s">
        <v>125</v>
      </c>
    </row>
    <row r="74" spans="1:10" x14ac:dyDescent="0.35">
      <c r="A74" s="2" t="s">
        <v>220</v>
      </c>
      <c r="B74" s="2" t="s">
        <v>126</v>
      </c>
      <c r="C74" s="2" t="s">
        <v>136</v>
      </c>
      <c r="D74">
        <v>300</v>
      </c>
      <c r="E74">
        <v>118</v>
      </c>
      <c r="F74">
        <v>285</v>
      </c>
      <c r="G74">
        <v>1</v>
      </c>
      <c r="H74" s="8">
        <v>8746</v>
      </c>
      <c r="I74" s="2" t="s">
        <v>128</v>
      </c>
      <c r="J74" s="2" t="s">
        <v>140</v>
      </c>
    </row>
    <row r="75" spans="1:10" x14ac:dyDescent="0.35">
      <c r="A75" s="2" t="s">
        <v>221</v>
      </c>
      <c r="B75" s="2" t="s">
        <v>130</v>
      </c>
      <c r="C75" s="2" t="s">
        <v>138</v>
      </c>
      <c r="D75">
        <v>251</v>
      </c>
      <c r="E75">
        <v>83</v>
      </c>
      <c r="F75">
        <v>483</v>
      </c>
      <c r="G75">
        <v>29</v>
      </c>
      <c r="H75" s="8">
        <v>177947</v>
      </c>
      <c r="I75" s="2" t="s">
        <v>124</v>
      </c>
      <c r="J75" s="2" t="s">
        <v>132</v>
      </c>
    </row>
    <row r="76" spans="1:10" x14ac:dyDescent="0.35">
      <c r="A76" s="2" t="s">
        <v>222</v>
      </c>
      <c r="B76" s="2" t="s">
        <v>122</v>
      </c>
      <c r="C76" s="2" t="s">
        <v>136</v>
      </c>
      <c r="D76">
        <v>393</v>
      </c>
      <c r="E76">
        <v>129</v>
      </c>
      <c r="F76">
        <v>383</v>
      </c>
      <c r="G76">
        <v>13</v>
      </c>
      <c r="H76" s="8">
        <v>151676</v>
      </c>
      <c r="I76" s="2" t="s">
        <v>128</v>
      </c>
      <c r="J76" s="2" t="s">
        <v>133</v>
      </c>
    </row>
    <row r="77" spans="1:10" x14ac:dyDescent="0.35">
      <c r="A77" s="2" t="s">
        <v>223</v>
      </c>
      <c r="B77" s="2" t="s">
        <v>134</v>
      </c>
      <c r="C77" s="2" t="s">
        <v>136</v>
      </c>
      <c r="D77">
        <v>313</v>
      </c>
      <c r="E77">
        <v>87</v>
      </c>
      <c r="F77">
        <v>422</v>
      </c>
      <c r="G77">
        <v>17</v>
      </c>
      <c r="H77" s="8">
        <v>144353</v>
      </c>
      <c r="I77" s="2" t="s">
        <v>124</v>
      </c>
      <c r="J77" s="2" t="s">
        <v>133</v>
      </c>
    </row>
    <row r="78" spans="1:10" x14ac:dyDescent="0.35">
      <c r="A78" s="2" t="s">
        <v>224</v>
      </c>
      <c r="B78" s="2" t="s">
        <v>139</v>
      </c>
      <c r="C78" s="2" t="s">
        <v>131</v>
      </c>
      <c r="D78">
        <v>115</v>
      </c>
      <c r="E78">
        <v>89</v>
      </c>
      <c r="F78">
        <v>425</v>
      </c>
      <c r="G78">
        <v>14</v>
      </c>
      <c r="H78" s="8">
        <v>108138</v>
      </c>
      <c r="I78" s="2" t="s">
        <v>124</v>
      </c>
      <c r="J78" s="2" t="s">
        <v>129</v>
      </c>
    </row>
    <row r="79" spans="1:10" x14ac:dyDescent="0.35">
      <c r="A79" s="2" t="s">
        <v>225</v>
      </c>
      <c r="B79" s="2" t="s">
        <v>141</v>
      </c>
      <c r="C79" s="2" t="s">
        <v>131</v>
      </c>
      <c r="D79">
        <v>78</v>
      </c>
      <c r="E79">
        <v>133</v>
      </c>
      <c r="F79">
        <v>186</v>
      </c>
      <c r="G79">
        <v>5</v>
      </c>
      <c r="H79" s="8">
        <v>47493</v>
      </c>
      <c r="I79" s="2" t="s">
        <v>128</v>
      </c>
      <c r="J79" s="2" t="s">
        <v>125</v>
      </c>
    </row>
    <row r="80" spans="1:10" x14ac:dyDescent="0.35">
      <c r="A80" s="2" t="s">
        <v>226</v>
      </c>
      <c r="B80" s="2" t="s">
        <v>126</v>
      </c>
      <c r="C80" s="2" t="s">
        <v>123</v>
      </c>
      <c r="D80">
        <v>307</v>
      </c>
      <c r="E80">
        <v>66</v>
      </c>
      <c r="F80">
        <v>467</v>
      </c>
      <c r="G80">
        <v>20</v>
      </c>
      <c r="H80" s="8">
        <v>156163</v>
      </c>
      <c r="I80" s="2" t="s">
        <v>124</v>
      </c>
      <c r="J80" s="2" t="s">
        <v>129</v>
      </c>
    </row>
    <row r="81" spans="1:10" x14ac:dyDescent="0.35">
      <c r="A81" s="2" t="s">
        <v>227</v>
      </c>
      <c r="B81" s="2" t="s">
        <v>137</v>
      </c>
      <c r="C81" s="2" t="s">
        <v>123</v>
      </c>
      <c r="D81">
        <v>61</v>
      </c>
      <c r="E81">
        <v>29</v>
      </c>
      <c r="F81">
        <v>125</v>
      </c>
      <c r="G81">
        <v>1</v>
      </c>
      <c r="H81" s="8">
        <v>26212</v>
      </c>
      <c r="I81" s="2" t="s">
        <v>124</v>
      </c>
      <c r="J81" s="2" t="s">
        <v>132</v>
      </c>
    </row>
    <row r="82" spans="1:10" x14ac:dyDescent="0.35">
      <c r="A82" s="2" t="s">
        <v>228</v>
      </c>
      <c r="B82" s="2" t="s">
        <v>126</v>
      </c>
      <c r="C82" s="2" t="s">
        <v>138</v>
      </c>
      <c r="D82">
        <v>284</v>
      </c>
      <c r="E82">
        <v>14</v>
      </c>
      <c r="F82">
        <v>84</v>
      </c>
      <c r="G82">
        <v>1</v>
      </c>
      <c r="H82" s="8">
        <v>1492</v>
      </c>
      <c r="I82" s="2" t="s">
        <v>124</v>
      </c>
      <c r="J82" s="2" t="s">
        <v>129</v>
      </c>
    </row>
    <row r="83" spans="1:10" x14ac:dyDescent="0.35">
      <c r="A83" s="2" t="s">
        <v>229</v>
      </c>
      <c r="B83" s="2" t="s">
        <v>137</v>
      </c>
      <c r="C83" s="2" t="s">
        <v>123</v>
      </c>
      <c r="D83">
        <v>426</v>
      </c>
      <c r="E83">
        <v>116</v>
      </c>
      <c r="F83">
        <v>50</v>
      </c>
      <c r="G83">
        <v>3</v>
      </c>
      <c r="H83" s="8">
        <v>11933</v>
      </c>
      <c r="I83" s="2" t="s">
        <v>128</v>
      </c>
      <c r="J83" s="2" t="s">
        <v>135</v>
      </c>
    </row>
    <row r="84" spans="1:10" x14ac:dyDescent="0.35">
      <c r="A84" s="2" t="s">
        <v>230</v>
      </c>
      <c r="B84" s="2" t="s">
        <v>139</v>
      </c>
      <c r="C84" s="2" t="s">
        <v>136</v>
      </c>
      <c r="D84">
        <v>280</v>
      </c>
      <c r="E84">
        <v>97</v>
      </c>
      <c r="F84">
        <v>345</v>
      </c>
      <c r="G84">
        <v>26</v>
      </c>
      <c r="H84" s="8">
        <v>76524</v>
      </c>
      <c r="I84" s="2" t="s">
        <v>124</v>
      </c>
      <c r="J84" s="2" t="s">
        <v>133</v>
      </c>
    </row>
    <row r="85" spans="1:10" x14ac:dyDescent="0.35">
      <c r="A85" s="2" t="s">
        <v>231</v>
      </c>
      <c r="B85" s="2" t="s">
        <v>139</v>
      </c>
      <c r="C85" s="2" t="s">
        <v>131</v>
      </c>
      <c r="D85">
        <v>205</v>
      </c>
      <c r="E85">
        <v>109</v>
      </c>
      <c r="F85">
        <v>369</v>
      </c>
      <c r="G85">
        <v>11</v>
      </c>
      <c r="H85" s="8">
        <v>82684</v>
      </c>
      <c r="I85" s="2" t="s">
        <v>128</v>
      </c>
      <c r="J85" s="2" t="s">
        <v>133</v>
      </c>
    </row>
    <row r="86" spans="1:10" x14ac:dyDescent="0.35">
      <c r="A86" s="2" t="s">
        <v>232</v>
      </c>
      <c r="B86" s="2" t="s">
        <v>139</v>
      </c>
      <c r="C86" s="2" t="s">
        <v>123</v>
      </c>
      <c r="D86">
        <v>307</v>
      </c>
      <c r="E86">
        <v>40</v>
      </c>
      <c r="F86">
        <v>455</v>
      </c>
      <c r="G86">
        <v>9</v>
      </c>
      <c r="H86" s="8">
        <v>94823</v>
      </c>
      <c r="I86" s="2" t="s">
        <v>124</v>
      </c>
      <c r="J86" s="2" t="s">
        <v>140</v>
      </c>
    </row>
    <row r="87" spans="1:10" x14ac:dyDescent="0.35">
      <c r="A87" s="2" t="s">
        <v>233</v>
      </c>
      <c r="B87" s="2" t="s">
        <v>137</v>
      </c>
      <c r="C87" s="2" t="s">
        <v>123</v>
      </c>
      <c r="D87">
        <v>233</v>
      </c>
      <c r="E87">
        <v>29</v>
      </c>
      <c r="F87">
        <v>109</v>
      </c>
      <c r="G87">
        <v>5</v>
      </c>
      <c r="H87" s="8">
        <v>17497</v>
      </c>
      <c r="I87" s="2" t="s">
        <v>124</v>
      </c>
      <c r="J87" s="2" t="s">
        <v>140</v>
      </c>
    </row>
    <row r="88" spans="1:10" x14ac:dyDescent="0.35">
      <c r="A88" s="2" t="s">
        <v>234</v>
      </c>
      <c r="B88" s="2" t="s">
        <v>126</v>
      </c>
      <c r="C88" s="2" t="s">
        <v>138</v>
      </c>
      <c r="D88">
        <v>268</v>
      </c>
      <c r="E88">
        <v>12</v>
      </c>
      <c r="F88">
        <v>369</v>
      </c>
      <c r="G88">
        <v>12</v>
      </c>
      <c r="H88" s="8">
        <v>56999</v>
      </c>
      <c r="I88" s="2" t="s">
        <v>124</v>
      </c>
      <c r="J88" s="2" t="s">
        <v>132</v>
      </c>
    </row>
    <row r="89" spans="1:10" x14ac:dyDescent="0.35">
      <c r="A89" s="2" t="s">
        <v>235</v>
      </c>
      <c r="B89" s="2" t="s">
        <v>139</v>
      </c>
      <c r="C89" s="2" t="s">
        <v>138</v>
      </c>
      <c r="D89">
        <v>427</v>
      </c>
      <c r="E89">
        <v>59</v>
      </c>
      <c r="F89">
        <v>398</v>
      </c>
      <c r="G89">
        <v>0</v>
      </c>
      <c r="H89" s="8">
        <v>157978</v>
      </c>
      <c r="I89" s="2" t="s">
        <v>128</v>
      </c>
      <c r="J89" s="2" t="s">
        <v>135</v>
      </c>
    </row>
    <row r="90" spans="1:10" x14ac:dyDescent="0.35">
      <c r="A90" s="2" t="s">
        <v>236</v>
      </c>
      <c r="B90" s="2" t="s">
        <v>130</v>
      </c>
      <c r="C90" s="2" t="s">
        <v>136</v>
      </c>
      <c r="D90">
        <v>204</v>
      </c>
      <c r="E90">
        <v>93</v>
      </c>
      <c r="F90">
        <v>377</v>
      </c>
      <c r="G90">
        <v>4</v>
      </c>
      <c r="H90" s="8">
        <v>96868</v>
      </c>
      <c r="I90" s="2" t="s">
        <v>124</v>
      </c>
      <c r="J90" s="2" t="s">
        <v>125</v>
      </c>
    </row>
    <row r="91" spans="1:10" x14ac:dyDescent="0.35">
      <c r="A91" s="2" t="s">
        <v>237</v>
      </c>
      <c r="B91" s="2" t="s">
        <v>122</v>
      </c>
      <c r="C91" s="2" t="s">
        <v>131</v>
      </c>
      <c r="D91">
        <v>434</v>
      </c>
      <c r="E91">
        <v>65</v>
      </c>
      <c r="F91">
        <v>316</v>
      </c>
      <c r="G91">
        <v>18</v>
      </c>
      <c r="H91" s="8">
        <v>77762</v>
      </c>
      <c r="I91" s="2" t="s">
        <v>128</v>
      </c>
      <c r="J91" s="2" t="s">
        <v>129</v>
      </c>
    </row>
    <row r="92" spans="1:10" x14ac:dyDescent="0.35">
      <c r="A92" s="2" t="s">
        <v>238</v>
      </c>
      <c r="B92" s="2" t="s">
        <v>137</v>
      </c>
      <c r="C92" s="2" t="s">
        <v>138</v>
      </c>
      <c r="D92">
        <v>412</v>
      </c>
      <c r="E92">
        <v>71</v>
      </c>
      <c r="F92">
        <v>410</v>
      </c>
      <c r="G92">
        <v>21</v>
      </c>
      <c r="H92" s="8">
        <v>131164</v>
      </c>
      <c r="I92" s="2" t="s">
        <v>128</v>
      </c>
      <c r="J92" s="2" t="s">
        <v>132</v>
      </c>
    </row>
    <row r="93" spans="1:10" x14ac:dyDescent="0.35">
      <c r="A93" s="2" t="s">
        <v>239</v>
      </c>
      <c r="B93" s="2" t="s">
        <v>137</v>
      </c>
      <c r="C93" s="2" t="s">
        <v>123</v>
      </c>
      <c r="D93">
        <v>128</v>
      </c>
      <c r="E93">
        <v>137</v>
      </c>
      <c r="F93">
        <v>278</v>
      </c>
      <c r="G93">
        <v>0</v>
      </c>
      <c r="H93" s="8">
        <v>56869</v>
      </c>
      <c r="I93" s="2" t="s">
        <v>128</v>
      </c>
      <c r="J93" s="2" t="s">
        <v>140</v>
      </c>
    </row>
    <row r="94" spans="1:10" x14ac:dyDescent="0.35">
      <c r="A94" s="2" t="s">
        <v>240</v>
      </c>
      <c r="B94" s="2" t="s">
        <v>126</v>
      </c>
      <c r="C94" s="2" t="s">
        <v>131</v>
      </c>
      <c r="D94">
        <v>78</v>
      </c>
      <c r="E94">
        <v>59</v>
      </c>
      <c r="F94">
        <v>319</v>
      </c>
      <c r="G94">
        <v>5</v>
      </c>
      <c r="H94" s="8">
        <v>123609</v>
      </c>
      <c r="I94" s="2" t="s">
        <v>124</v>
      </c>
      <c r="J94" s="2" t="s">
        <v>129</v>
      </c>
    </row>
    <row r="95" spans="1:10" x14ac:dyDescent="0.35">
      <c r="A95" s="2" t="s">
        <v>241</v>
      </c>
      <c r="B95" s="2" t="s">
        <v>137</v>
      </c>
      <c r="C95" s="2" t="s">
        <v>131</v>
      </c>
      <c r="D95">
        <v>90</v>
      </c>
      <c r="E95">
        <v>82</v>
      </c>
      <c r="F95">
        <v>365</v>
      </c>
      <c r="G95">
        <v>6</v>
      </c>
      <c r="H95" s="8">
        <v>126504</v>
      </c>
      <c r="I95" s="2" t="s">
        <v>124</v>
      </c>
      <c r="J95" s="2" t="s">
        <v>140</v>
      </c>
    </row>
    <row r="96" spans="1:10" x14ac:dyDescent="0.35">
      <c r="A96" s="2" t="s">
        <v>242</v>
      </c>
      <c r="B96" s="2" t="s">
        <v>137</v>
      </c>
      <c r="C96" s="2" t="s">
        <v>123</v>
      </c>
      <c r="D96">
        <v>57</v>
      </c>
      <c r="E96">
        <v>120</v>
      </c>
      <c r="F96">
        <v>335</v>
      </c>
      <c r="G96">
        <v>18</v>
      </c>
      <c r="H96" s="8">
        <v>57738</v>
      </c>
      <c r="I96" s="2" t="s">
        <v>128</v>
      </c>
      <c r="J96" s="2" t="s">
        <v>129</v>
      </c>
    </row>
    <row r="97" spans="1:10" x14ac:dyDescent="0.35">
      <c r="A97" s="2" t="s">
        <v>243</v>
      </c>
      <c r="B97" s="2" t="s">
        <v>139</v>
      </c>
      <c r="C97" s="2" t="s">
        <v>138</v>
      </c>
      <c r="D97">
        <v>88</v>
      </c>
      <c r="E97">
        <v>66</v>
      </c>
      <c r="F97">
        <v>340</v>
      </c>
      <c r="G97">
        <v>0</v>
      </c>
      <c r="H97" s="8">
        <v>86494</v>
      </c>
      <c r="I97" s="2" t="s">
        <v>124</v>
      </c>
      <c r="J97" s="2" t="s">
        <v>125</v>
      </c>
    </row>
    <row r="98" spans="1:10" x14ac:dyDescent="0.35">
      <c r="A98" s="2" t="s">
        <v>244</v>
      </c>
      <c r="B98" s="2" t="s">
        <v>126</v>
      </c>
      <c r="C98" s="2" t="s">
        <v>123</v>
      </c>
      <c r="D98">
        <v>323</v>
      </c>
      <c r="E98">
        <v>97</v>
      </c>
      <c r="F98">
        <v>262</v>
      </c>
      <c r="G98">
        <v>2</v>
      </c>
      <c r="H98" s="8">
        <v>96882</v>
      </c>
      <c r="I98" s="2" t="s">
        <v>124</v>
      </c>
      <c r="J98" s="2" t="s">
        <v>132</v>
      </c>
    </row>
    <row r="99" spans="1:10" x14ac:dyDescent="0.35">
      <c r="A99" s="2" t="s">
        <v>245</v>
      </c>
      <c r="B99" s="2" t="s">
        <v>139</v>
      </c>
      <c r="C99" s="2" t="s">
        <v>131</v>
      </c>
      <c r="D99">
        <v>78</v>
      </c>
      <c r="E99">
        <v>131</v>
      </c>
      <c r="F99">
        <v>214</v>
      </c>
      <c r="G99">
        <v>13</v>
      </c>
      <c r="H99" s="8">
        <v>82643</v>
      </c>
      <c r="I99" s="2" t="s">
        <v>128</v>
      </c>
      <c r="J99" s="2" t="s">
        <v>129</v>
      </c>
    </row>
    <row r="100" spans="1:10" x14ac:dyDescent="0.35">
      <c r="A100" s="2" t="s">
        <v>246</v>
      </c>
      <c r="B100" s="2" t="s">
        <v>122</v>
      </c>
      <c r="C100" s="2" t="s">
        <v>127</v>
      </c>
      <c r="D100">
        <v>178</v>
      </c>
      <c r="E100">
        <v>143</v>
      </c>
      <c r="F100">
        <v>54</v>
      </c>
      <c r="G100">
        <v>0</v>
      </c>
      <c r="H100" s="8">
        <v>1441</v>
      </c>
      <c r="I100" s="2" t="s">
        <v>128</v>
      </c>
      <c r="J100" s="2" t="s">
        <v>135</v>
      </c>
    </row>
    <row r="101" spans="1:10" x14ac:dyDescent="0.35">
      <c r="A101" s="2" t="s">
        <v>247</v>
      </c>
      <c r="B101" s="2" t="s">
        <v>122</v>
      </c>
      <c r="C101" s="2" t="s">
        <v>127</v>
      </c>
      <c r="D101">
        <v>388</v>
      </c>
      <c r="E101">
        <v>31</v>
      </c>
      <c r="F101">
        <v>388</v>
      </c>
      <c r="G101">
        <v>20</v>
      </c>
      <c r="H101" s="8">
        <v>117701</v>
      </c>
      <c r="I101" s="2" t="s">
        <v>128</v>
      </c>
      <c r="J101" s="2" t="s">
        <v>133</v>
      </c>
    </row>
    <row r="102" spans="1:10" x14ac:dyDescent="0.35">
      <c r="A102" s="2" t="s">
        <v>248</v>
      </c>
      <c r="B102" s="2" t="s">
        <v>139</v>
      </c>
      <c r="C102" s="2" t="s">
        <v>136</v>
      </c>
      <c r="D102">
        <v>59</v>
      </c>
      <c r="E102">
        <v>140</v>
      </c>
      <c r="F102">
        <v>428</v>
      </c>
      <c r="G102">
        <v>8</v>
      </c>
      <c r="H102" s="8">
        <v>82073</v>
      </c>
      <c r="I102" s="2" t="s">
        <v>128</v>
      </c>
      <c r="J102" s="2" t="s">
        <v>135</v>
      </c>
    </row>
    <row r="103" spans="1:10" x14ac:dyDescent="0.35">
      <c r="A103" s="2" t="s">
        <v>249</v>
      </c>
      <c r="B103" s="2" t="s">
        <v>122</v>
      </c>
      <c r="C103" s="2" t="s">
        <v>123</v>
      </c>
      <c r="D103">
        <v>376</v>
      </c>
      <c r="E103">
        <v>79</v>
      </c>
      <c r="F103">
        <v>127</v>
      </c>
      <c r="G103">
        <v>1</v>
      </c>
      <c r="H103" s="8">
        <v>5052</v>
      </c>
      <c r="I103" s="2" t="s">
        <v>128</v>
      </c>
      <c r="J103" s="2" t="s">
        <v>135</v>
      </c>
    </row>
    <row r="104" spans="1:10" x14ac:dyDescent="0.35">
      <c r="A104" s="2" t="s">
        <v>250</v>
      </c>
      <c r="B104" s="2" t="s">
        <v>126</v>
      </c>
      <c r="C104" s="2" t="s">
        <v>123</v>
      </c>
      <c r="D104">
        <v>163</v>
      </c>
      <c r="E104">
        <v>46</v>
      </c>
      <c r="F104">
        <v>459</v>
      </c>
      <c r="G104">
        <v>8</v>
      </c>
      <c r="H104" s="8">
        <v>95434</v>
      </c>
      <c r="I104" s="2" t="s">
        <v>124</v>
      </c>
      <c r="J104" s="2" t="s">
        <v>133</v>
      </c>
    </row>
    <row r="105" spans="1:10" x14ac:dyDescent="0.35">
      <c r="A105" s="2" t="s">
        <v>251</v>
      </c>
      <c r="B105" s="2" t="s">
        <v>141</v>
      </c>
      <c r="C105" s="2" t="s">
        <v>136</v>
      </c>
      <c r="D105">
        <v>97</v>
      </c>
      <c r="E105">
        <v>74</v>
      </c>
      <c r="F105">
        <v>111</v>
      </c>
      <c r="G105">
        <v>6</v>
      </c>
      <c r="H105" s="8">
        <v>42811</v>
      </c>
      <c r="I105" s="2" t="s">
        <v>124</v>
      </c>
      <c r="J105" s="2" t="s">
        <v>135</v>
      </c>
    </row>
    <row r="106" spans="1:10" x14ac:dyDescent="0.35">
      <c r="A106" s="2" t="s">
        <v>252</v>
      </c>
      <c r="B106" s="2" t="s">
        <v>139</v>
      </c>
      <c r="C106" s="2" t="s">
        <v>136</v>
      </c>
      <c r="D106">
        <v>329</v>
      </c>
      <c r="E106">
        <v>147</v>
      </c>
      <c r="F106">
        <v>181</v>
      </c>
      <c r="G106">
        <v>12</v>
      </c>
      <c r="H106" s="8">
        <v>56547</v>
      </c>
      <c r="I106" s="2" t="s">
        <v>128</v>
      </c>
      <c r="J106" s="2" t="s">
        <v>129</v>
      </c>
    </row>
    <row r="107" spans="1:10" x14ac:dyDescent="0.35">
      <c r="A107" s="2" t="s">
        <v>253</v>
      </c>
      <c r="B107" s="2" t="s">
        <v>130</v>
      </c>
      <c r="C107" s="2" t="s">
        <v>136</v>
      </c>
      <c r="D107">
        <v>302</v>
      </c>
      <c r="E107">
        <v>79</v>
      </c>
      <c r="F107">
        <v>138</v>
      </c>
      <c r="G107">
        <v>9</v>
      </c>
      <c r="H107" s="8">
        <v>41667</v>
      </c>
      <c r="I107" s="2" t="s">
        <v>124</v>
      </c>
      <c r="J107" s="2" t="s">
        <v>129</v>
      </c>
    </row>
    <row r="108" spans="1:10" x14ac:dyDescent="0.35">
      <c r="A108" s="2" t="s">
        <v>254</v>
      </c>
      <c r="B108" s="2" t="s">
        <v>130</v>
      </c>
      <c r="C108" s="2" t="s">
        <v>131</v>
      </c>
      <c r="D108">
        <v>401</v>
      </c>
      <c r="E108">
        <v>56</v>
      </c>
      <c r="F108">
        <v>286</v>
      </c>
      <c r="G108">
        <v>9</v>
      </c>
      <c r="H108" s="8">
        <v>79557</v>
      </c>
      <c r="I108" s="2" t="s">
        <v>128</v>
      </c>
      <c r="J108" s="2" t="s">
        <v>129</v>
      </c>
    </row>
    <row r="109" spans="1:10" x14ac:dyDescent="0.35">
      <c r="A109" s="2" t="s">
        <v>255</v>
      </c>
      <c r="B109" s="2" t="s">
        <v>137</v>
      </c>
      <c r="C109" s="2" t="s">
        <v>123</v>
      </c>
      <c r="D109">
        <v>344</v>
      </c>
      <c r="E109">
        <v>99</v>
      </c>
      <c r="F109">
        <v>91</v>
      </c>
      <c r="G109">
        <v>4</v>
      </c>
      <c r="H109" s="8">
        <v>18898</v>
      </c>
      <c r="I109" s="2" t="s">
        <v>124</v>
      </c>
      <c r="J109" s="2" t="s">
        <v>133</v>
      </c>
    </row>
    <row r="110" spans="1:10" x14ac:dyDescent="0.35">
      <c r="A110" s="2" t="s">
        <v>256</v>
      </c>
      <c r="B110" s="2" t="s">
        <v>122</v>
      </c>
      <c r="C110" s="2" t="s">
        <v>131</v>
      </c>
      <c r="D110">
        <v>371</v>
      </c>
      <c r="E110">
        <v>44</v>
      </c>
      <c r="F110">
        <v>138</v>
      </c>
      <c r="G110">
        <v>2</v>
      </c>
      <c r="H110" s="8">
        <v>2679</v>
      </c>
      <c r="I110" s="2" t="s">
        <v>128</v>
      </c>
      <c r="J110" s="2" t="s">
        <v>135</v>
      </c>
    </row>
    <row r="111" spans="1:10" x14ac:dyDescent="0.35">
      <c r="A111" s="2" t="s">
        <v>257</v>
      </c>
      <c r="B111" s="2" t="s">
        <v>130</v>
      </c>
      <c r="C111" s="2" t="s">
        <v>136</v>
      </c>
      <c r="D111">
        <v>163</v>
      </c>
      <c r="E111">
        <v>21</v>
      </c>
      <c r="F111">
        <v>451</v>
      </c>
      <c r="G111">
        <v>10</v>
      </c>
      <c r="H111" s="8">
        <v>9251</v>
      </c>
      <c r="I111" s="2" t="s">
        <v>124</v>
      </c>
      <c r="J111" s="2" t="s">
        <v>133</v>
      </c>
    </row>
    <row r="112" spans="1:10" x14ac:dyDescent="0.35">
      <c r="A112" s="2" t="s">
        <v>258</v>
      </c>
      <c r="B112" s="2" t="s">
        <v>137</v>
      </c>
      <c r="C112" s="2" t="s">
        <v>123</v>
      </c>
      <c r="D112">
        <v>121</v>
      </c>
      <c r="E112">
        <v>28</v>
      </c>
      <c r="F112">
        <v>345</v>
      </c>
      <c r="G112">
        <v>24</v>
      </c>
      <c r="H112" s="8">
        <v>6783</v>
      </c>
      <c r="I112" s="2" t="s">
        <v>124</v>
      </c>
      <c r="J112" s="2" t="s">
        <v>129</v>
      </c>
    </row>
    <row r="113" spans="1:10" x14ac:dyDescent="0.35">
      <c r="A113" s="2" t="s">
        <v>259</v>
      </c>
      <c r="B113" s="2" t="s">
        <v>141</v>
      </c>
      <c r="C113" s="2" t="s">
        <v>131</v>
      </c>
      <c r="D113">
        <v>350</v>
      </c>
      <c r="E113">
        <v>28</v>
      </c>
      <c r="F113">
        <v>377</v>
      </c>
      <c r="G113">
        <v>0</v>
      </c>
      <c r="H113" s="8">
        <v>130026</v>
      </c>
      <c r="I113" s="2" t="s">
        <v>124</v>
      </c>
      <c r="J113" s="2" t="s">
        <v>135</v>
      </c>
    </row>
    <row r="114" spans="1:10" x14ac:dyDescent="0.35">
      <c r="A114" s="2" t="s">
        <v>260</v>
      </c>
      <c r="B114" s="2" t="s">
        <v>126</v>
      </c>
      <c r="C114" s="2" t="s">
        <v>131</v>
      </c>
      <c r="D114">
        <v>373</v>
      </c>
      <c r="E114">
        <v>31</v>
      </c>
      <c r="F114">
        <v>344</v>
      </c>
      <c r="G114">
        <v>2</v>
      </c>
      <c r="H114" s="8">
        <v>81711</v>
      </c>
      <c r="I114" s="2" t="s">
        <v>128</v>
      </c>
      <c r="J114" s="2" t="s">
        <v>135</v>
      </c>
    </row>
    <row r="115" spans="1:10" x14ac:dyDescent="0.35">
      <c r="A115" s="2" t="s">
        <v>261</v>
      </c>
      <c r="B115" s="2" t="s">
        <v>126</v>
      </c>
      <c r="C115" s="2" t="s">
        <v>136</v>
      </c>
      <c r="D115">
        <v>446</v>
      </c>
      <c r="E115">
        <v>29</v>
      </c>
      <c r="F115">
        <v>153</v>
      </c>
      <c r="G115">
        <v>2</v>
      </c>
      <c r="H115" s="8">
        <v>25162</v>
      </c>
      <c r="I115" s="2" t="s">
        <v>128</v>
      </c>
      <c r="J115" s="2" t="s">
        <v>140</v>
      </c>
    </row>
    <row r="116" spans="1:10" x14ac:dyDescent="0.35">
      <c r="A116" s="2" t="s">
        <v>262</v>
      </c>
      <c r="B116" s="2" t="s">
        <v>126</v>
      </c>
      <c r="C116" s="2" t="s">
        <v>123</v>
      </c>
      <c r="D116">
        <v>215</v>
      </c>
      <c r="E116">
        <v>100</v>
      </c>
      <c r="F116">
        <v>63</v>
      </c>
      <c r="G116">
        <v>0</v>
      </c>
      <c r="H116" s="8">
        <v>24713</v>
      </c>
      <c r="I116" s="2" t="s">
        <v>124</v>
      </c>
      <c r="J116" s="2" t="s">
        <v>140</v>
      </c>
    </row>
    <row r="117" spans="1:10" x14ac:dyDescent="0.35">
      <c r="A117" s="2" t="s">
        <v>263</v>
      </c>
      <c r="B117" s="2" t="s">
        <v>130</v>
      </c>
      <c r="C117" s="2" t="s">
        <v>136</v>
      </c>
      <c r="D117">
        <v>199</v>
      </c>
      <c r="E117">
        <v>35</v>
      </c>
      <c r="F117">
        <v>337</v>
      </c>
      <c r="G117">
        <v>4</v>
      </c>
      <c r="H117" s="8">
        <v>125009</v>
      </c>
      <c r="I117" s="2" t="s">
        <v>124</v>
      </c>
      <c r="J117" s="2" t="s">
        <v>125</v>
      </c>
    </row>
    <row r="118" spans="1:10" x14ac:dyDescent="0.35">
      <c r="A118" s="2" t="s">
        <v>264</v>
      </c>
      <c r="B118" s="2" t="s">
        <v>141</v>
      </c>
      <c r="C118" s="2" t="s">
        <v>123</v>
      </c>
      <c r="D118">
        <v>361</v>
      </c>
      <c r="E118">
        <v>58</v>
      </c>
      <c r="F118">
        <v>228</v>
      </c>
      <c r="G118">
        <v>10</v>
      </c>
      <c r="H118" s="8">
        <v>87082</v>
      </c>
      <c r="I118" s="2" t="s">
        <v>128</v>
      </c>
      <c r="J118" s="2" t="s">
        <v>132</v>
      </c>
    </row>
    <row r="119" spans="1:10" x14ac:dyDescent="0.35">
      <c r="A119" s="2" t="s">
        <v>265</v>
      </c>
      <c r="B119" s="2" t="s">
        <v>130</v>
      </c>
      <c r="C119" s="2" t="s">
        <v>127</v>
      </c>
      <c r="D119">
        <v>186</v>
      </c>
      <c r="E119">
        <v>136</v>
      </c>
      <c r="F119">
        <v>174</v>
      </c>
      <c r="G119">
        <v>5</v>
      </c>
      <c r="H119" s="8">
        <v>69378</v>
      </c>
      <c r="I119" s="2" t="s">
        <v>128</v>
      </c>
      <c r="J119" s="2" t="s">
        <v>140</v>
      </c>
    </row>
    <row r="120" spans="1:10" x14ac:dyDescent="0.35">
      <c r="A120" s="2" t="s">
        <v>266</v>
      </c>
      <c r="B120" s="2" t="s">
        <v>122</v>
      </c>
      <c r="C120" s="2" t="s">
        <v>138</v>
      </c>
      <c r="D120">
        <v>422</v>
      </c>
      <c r="E120">
        <v>76</v>
      </c>
      <c r="F120">
        <v>471</v>
      </c>
      <c r="G120">
        <v>33</v>
      </c>
      <c r="H120" s="8">
        <v>91126</v>
      </c>
      <c r="I120" s="2" t="s">
        <v>128</v>
      </c>
      <c r="J120" s="2" t="s">
        <v>133</v>
      </c>
    </row>
    <row r="121" spans="1:10" x14ac:dyDescent="0.35">
      <c r="A121" s="2" t="s">
        <v>267</v>
      </c>
      <c r="B121" s="2" t="s">
        <v>130</v>
      </c>
      <c r="C121" s="2" t="s">
        <v>138</v>
      </c>
      <c r="D121">
        <v>393</v>
      </c>
      <c r="E121">
        <v>103</v>
      </c>
      <c r="F121">
        <v>402</v>
      </c>
      <c r="G121">
        <v>26</v>
      </c>
      <c r="H121" s="8">
        <v>100122</v>
      </c>
      <c r="I121" s="2" t="s">
        <v>128</v>
      </c>
      <c r="J121" s="2" t="s">
        <v>140</v>
      </c>
    </row>
    <row r="122" spans="1:10" x14ac:dyDescent="0.35">
      <c r="A122" s="2" t="s">
        <v>268</v>
      </c>
      <c r="B122" s="2" t="s">
        <v>141</v>
      </c>
      <c r="C122" s="2" t="s">
        <v>138</v>
      </c>
      <c r="D122">
        <v>222</v>
      </c>
      <c r="E122">
        <v>34</v>
      </c>
      <c r="F122">
        <v>72</v>
      </c>
      <c r="G122">
        <v>1</v>
      </c>
      <c r="H122" s="8">
        <v>24448</v>
      </c>
      <c r="I122" s="2" t="s">
        <v>124</v>
      </c>
      <c r="J122" s="2" t="s">
        <v>125</v>
      </c>
    </row>
    <row r="123" spans="1:10" x14ac:dyDescent="0.35">
      <c r="A123" s="2" t="s">
        <v>269</v>
      </c>
      <c r="B123" s="2" t="s">
        <v>141</v>
      </c>
      <c r="C123" s="2" t="s">
        <v>136</v>
      </c>
      <c r="D123">
        <v>350</v>
      </c>
      <c r="E123">
        <v>37</v>
      </c>
      <c r="F123">
        <v>112</v>
      </c>
      <c r="G123">
        <v>2</v>
      </c>
      <c r="H123" s="8">
        <v>36289</v>
      </c>
      <c r="I123" s="2" t="s">
        <v>124</v>
      </c>
      <c r="J123" s="2" t="s">
        <v>135</v>
      </c>
    </row>
    <row r="124" spans="1:10" x14ac:dyDescent="0.35">
      <c r="A124" s="2" t="s">
        <v>270</v>
      </c>
      <c r="B124" s="2" t="s">
        <v>122</v>
      </c>
      <c r="C124" s="2" t="s">
        <v>127</v>
      </c>
      <c r="D124">
        <v>352</v>
      </c>
      <c r="E124">
        <v>16</v>
      </c>
      <c r="F124">
        <v>192</v>
      </c>
      <c r="G124">
        <v>5</v>
      </c>
      <c r="H124" s="8">
        <v>36187</v>
      </c>
      <c r="I124" s="2" t="s">
        <v>128</v>
      </c>
      <c r="J124" s="2" t="s">
        <v>125</v>
      </c>
    </row>
    <row r="125" spans="1:10" x14ac:dyDescent="0.35">
      <c r="A125" s="2" t="s">
        <v>271</v>
      </c>
      <c r="B125" s="2" t="s">
        <v>141</v>
      </c>
      <c r="C125" s="2" t="s">
        <v>123</v>
      </c>
      <c r="D125">
        <v>91</v>
      </c>
      <c r="E125">
        <v>34</v>
      </c>
      <c r="F125">
        <v>202</v>
      </c>
      <c r="G125">
        <v>9</v>
      </c>
      <c r="H125" s="8">
        <v>7150</v>
      </c>
      <c r="I125" s="2" t="s">
        <v>124</v>
      </c>
      <c r="J125" s="2" t="s">
        <v>135</v>
      </c>
    </row>
    <row r="126" spans="1:10" x14ac:dyDescent="0.35">
      <c r="A126" s="2" t="s">
        <v>272</v>
      </c>
      <c r="B126" s="2" t="s">
        <v>141</v>
      </c>
      <c r="C126" s="2" t="s">
        <v>131</v>
      </c>
      <c r="D126">
        <v>411</v>
      </c>
      <c r="E126">
        <v>49</v>
      </c>
      <c r="F126">
        <v>194</v>
      </c>
      <c r="G126">
        <v>4</v>
      </c>
      <c r="H126" s="8">
        <v>39985</v>
      </c>
      <c r="I126" s="2" t="s">
        <v>128</v>
      </c>
      <c r="J126" s="2" t="s">
        <v>135</v>
      </c>
    </row>
    <row r="127" spans="1:10" x14ac:dyDescent="0.35">
      <c r="A127" s="2" t="s">
        <v>273</v>
      </c>
      <c r="B127" s="2" t="s">
        <v>126</v>
      </c>
      <c r="C127" s="2" t="s">
        <v>123</v>
      </c>
      <c r="D127">
        <v>252</v>
      </c>
      <c r="E127">
        <v>35</v>
      </c>
      <c r="F127">
        <v>274</v>
      </c>
      <c r="G127">
        <v>13</v>
      </c>
      <c r="H127" s="8">
        <v>56432</v>
      </c>
      <c r="I127" s="2" t="s">
        <v>124</v>
      </c>
      <c r="J127" s="2" t="s">
        <v>132</v>
      </c>
    </row>
    <row r="128" spans="1:10" x14ac:dyDescent="0.35">
      <c r="A128" s="2" t="s">
        <v>274</v>
      </c>
      <c r="B128" s="2" t="s">
        <v>122</v>
      </c>
      <c r="C128" s="2" t="s">
        <v>131</v>
      </c>
      <c r="D128">
        <v>381</v>
      </c>
      <c r="E128">
        <v>22</v>
      </c>
      <c r="F128">
        <v>499</v>
      </c>
      <c r="G128">
        <v>16</v>
      </c>
      <c r="H128" s="8">
        <v>141838</v>
      </c>
      <c r="I128" s="2" t="s">
        <v>128</v>
      </c>
      <c r="J128" s="2" t="s">
        <v>140</v>
      </c>
    </row>
    <row r="129" spans="1:10" x14ac:dyDescent="0.35">
      <c r="A129" s="2" t="s">
        <v>275</v>
      </c>
      <c r="B129" s="2" t="s">
        <v>134</v>
      </c>
      <c r="C129" s="2" t="s">
        <v>123</v>
      </c>
      <c r="D129">
        <v>178</v>
      </c>
      <c r="E129">
        <v>27</v>
      </c>
      <c r="F129">
        <v>358</v>
      </c>
      <c r="G129">
        <v>15</v>
      </c>
      <c r="H129" s="8">
        <v>106768</v>
      </c>
      <c r="I129" s="2" t="s">
        <v>124</v>
      </c>
      <c r="J129" s="2" t="s">
        <v>133</v>
      </c>
    </row>
    <row r="130" spans="1:10" x14ac:dyDescent="0.35">
      <c r="A130" s="2" t="s">
        <v>276</v>
      </c>
      <c r="B130" s="2" t="s">
        <v>134</v>
      </c>
      <c r="C130" s="2" t="s">
        <v>127</v>
      </c>
      <c r="D130">
        <v>408</v>
      </c>
      <c r="E130">
        <v>75</v>
      </c>
      <c r="F130">
        <v>153</v>
      </c>
      <c r="G130">
        <v>5</v>
      </c>
      <c r="H130" s="8">
        <v>45138</v>
      </c>
      <c r="I130" s="2" t="s">
        <v>128</v>
      </c>
      <c r="J130" s="2" t="s">
        <v>133</v>
      </c>
    </row>
    <row r="131" spans="1:10" x14ac:dyDescent="0.35">
      <c r="A131" s="2" t="s">
        <v>277</v>
      </c>
      <c r="B131" s="2" t="s">
        <v>141</v>
      </c>
      <c r="C131" s="2" t="s">
        <v>131</v>
      </c>
      <c r="D131">
        <v>206</v>
      </c>
      <c r="E131">
        <v>39</v>
      </c>
      <c r="F131">
        <v>153</v>
      </c>
      <c r="G131">
        <v>3</v>
      </c>
      <c r="H131" s="8">
        <v>26449</v>
      </c>
      <c r="I131" s="2" t="s">
        <v>124</v>
      </c>
      <c r="J131" s="2" t="s">
        <v>129</v>
      </c>
    </row>
    <row r="132" spans="1:10" x14ac:dyDescent="0.35">
      <c r="A132" s="2" t="s">
        <v>278</v>
      </c>
      <c r="B132" s="2" t="s">
        <v>134</v>
      </c>
      <c r="C132" s="2" t="s">
        <v>136</v>
      </c>
      <c r="D132">
        <v>54</v>
      </c>
      <c r="E132">
        <v>61</v>
      </c>
      <c r="F132">
        <v>484</v>
      </c>
      <c r="G132">
        <v>36</v>
      </c>
      <c r="H132" s="8">
        <v>178773</v>
      </c>
      <c r="I132" s="2" t="s">
        <v>124</v>
      </c>
      <c r="J132" s="2" t="s">
        <v>135</v>
      </c>
    </row>
    <row r="133" spans="1:10" x14ac:dyDescent="0.35">
      <c r="A133" s="2" t="s">
        <v>279</v>
      </c>
      <c r="B133" s="2" t="s">
        <v>134</v>
      </c>
      <c r="C133" s="2" t="s">
        <v>123</v>
      </c>
      <c r="D133">
        <v>412</v>
      </c>
      <c r="E133">
        <v>80</v>
      </c>
      <c r="F133">
        <v>88</v>
      </c>
      <c r="G133">
        <v>5</v>
      </c>
      <c r="H133" s="8">
        <v>19043</v>
      </c>
      <c r="I133" s="2" t="s">
        <v>128</v>
      </c>
      <c r="J133" s="2" t="s">
        <v>133</v>
      </c>
    </row>
    <row r="134" spans="1:10" x14ac:dyDescent="0.35">
      <c r="A134" s="2" t="s">
        <v>280</v>
      </c>
      <c r="B134" s="2" t="s">
        <v>141</v>
      </c>
      <c r="C134" s="2" t="s">
        <v>123</v>
      </c>
      <c r="D134">
        <v>87</v>
      </c>
      <c r="E134">
        <v>107</v>
      </c>
      <c r="F134">
        <v>484</v>
      </c>
      <c r="G134">
        <v>5</v>
      </c>
      <c r="H134" s="8">
        <v>88271</v>
      </c>
      <c r="I134" s="2" t="s">
        <v>128</v>
      </c>
      <c r="J134" s="2" t="s">
        <v>132</v>
      </c>
    </row>
    <row r="135" spans="1:10" x14ac:dyDescent="0.35">
      <c r="A135" s="2" t="s">
        <v>281</v>
      </c>
      <c r="B135" s="2" t="s">
        <v>134</v>
      </c>
      <c r="C135" s="2" t="s">
        <v>131</v>
      </c>
      <c r="D135">
        <v>178</v>
      </c>
      <c r="E135">
        <v>16</v>
      </c>
      <c r="F135">
        <v>247</v>
      </c>
      <c r="G135">
        <v>17</v>
      </c>
      <c r="H135" s="8">
        <v>9193</v>
      </c>
      <c r="I135" s="2" t="s">
        <v>124</v>
      </c>
      <c r="J135" s="2" t="s">
        <v>135</v>
      </c>
    </row>
    <row r="136" spans="1:10" x14ac:dyDescent="0.35">
      <c r="A136" s="2" t="s">
        <v>282</v>
      </c>
      <c r="B136" s="2" t="s">
        <v>130</v>
      </c>
      <c r="C136" s="2" t="s">
        <v>136</v>
      </c>
      <c r="D136">
        <v>430</v>
      </c>
      <c r="E136">
        <v>122</v>
      </c>
      <c r="F136">
        <v>183</v>
      </c>
      <c r="G136">
        <v>7</v>
      </c>
      <c r="H136" s="8">
        <v>71171</v>
      </c>
      <c r="I136" s="2" t="s">
        <v>128</v>
      </c>
      <c r="J136" s="2" t="s">
        <v>132</v>
      </c>
    </row>
    <row r="137" spans="1:10" x14ac:dyDescent="0.35">
      <c r="A137" s="2" t="s">
        <v>283</v>
      </c>
      <c r="B137" s="2" t="s">
        <v>137</v>
      </c>
      <c r="C137" s="2" t="s">
        <v>136</v>
      </c>
      <c r="D137">
        <v>430</v>
      </c>
      <c r="E137">
        <v>98</v>
      </c>
      <c r="F137">
        <v>116</v>
      </c>
      <c r="G137">
        <v>8</v>
      </c>
      <c r="H137" s="8">
        <v>42402</v>
      </c>
      <c r="I137" s="2" t="s">
        <v>128</v>
      </c>
      <c r="J137" s="2" t="s">
        <v>133</v>
      </c>
    </row>
    <row r="138" spans="1:10" x14ac:dyDescent="0.35">
      <c r="A138" s="2" t="s">
        <v>284</v>
      </c>
      <c r="B138" s="2" t="s">
        <v>122</v>
      </c>
      <c r="C138" s="2" t="s">
        <v>127</v>
      </c>
      <c r="D138">
        <v>279</v>
      </c>
      <c r="E138">
        <v>21</v>
      </c>
      <c r="F138">
        <v>440</v>
      </c>
      <c r="G138">
        <v>28</v>
      </c>
      <c r="H138" s="8">
        <v>155047</v>
      </c>
      <c r="I138" s="2" t="s">
        <v>124</v>
      </c>
      <c r="J138" s="2" t="s">
        <v>133</v>
      </c>
    </row>
    <row r="139" spans="1:10" x14ac:dyDescent="0.35">
      <c r="A139" s="2" t="s">
        <v>285</v>
      </c>
      <c r="B139" s="2" t="s">
        <v>137</v>
      </c>
      <c r="C139" s="2" t="s">
        <v>136</v>
      </c>
      <c r="D139">
        <v>303</v>
      </c>
      <c r="E139">
        <v>132</v>
      </c>
      <c r="F139">
        <v>228</v>
      </c>
      <c r="G139">
        <v>7</v>
      </c>
      <c r="H139" s="8">
        <v>71549</v>
      </c>
      <c r="I139" s="2" t="s">
        <v>128</v>
      </c>
      <c r="J139" s="2" t="s">
        <v>129</v>
      </c>
    </row>
    <row r="140" spans="1:10" x14ac:dyDescent="0.35">
      <c r="A140" s="2" t="s">
        <v>286</v>
      </c>
      <c r="B140" s="2" t="s">
        <v>141</v>
      </c>
      <c r="C140" s="2" t="s">
        <v>136</v>
      </c>
      <c r="D140">
        <v>229</v>
      </c>
      <c r="E140">
        <v>139</v>
      </c>
      <c r="F140">
        <v>91</v>
      </c>
      <c r="G140">
        <v>0</v>
      </c>
      <c r="H140" s="8">
        <v>26182</v>
      </c>
      <c r="I140" s="2" t="s">
        <v>128</v>
      </c>
      <c r="J140" s="2" t="s">
        <v>133</v>
      </c>
    </row>
    <row r="141" spans="1:10" x14ac:dyDescent="0.35">
      <c r="A141" s="2" t="s">
        <v>287</v>
      </c>
      <c r="B141" s="2" t="s">
        <v>126</v>
      </c>
      <c r="C141" s="2" t="s">
        <v>136</v>
      </c>
      <c r="D141">
        <v>167</v>
      </c>
      <c r="E141">
        <v>19</v>
      </c>
      <c r="F141">
        <v>497</v>
      </c>
      <c r="G141">
        <v>10</v>
      </c>
      <c r="H141" s="8">
        <v>85358</v>
      </c>
      <c r="I141" s="2" t="s">
        <v>124</v>
      </c>
      <c r="J141" s="2" t="s">
        <v>135</v>
      </c>
    </row>
    <row r="142" spans="1:10" x14ac:dyDescent="0.35">
      <c r="A142" s="2" t="s">
        <v>288</v>
      </c>
      <c r="B142" s="2" t="s">
        <v>122</v>
      </c>
      <c r="C142" s="2" t="s">
        <v>138</v>
      </c>
      <c r="D142">
        <v>181</v>
      </c>
      <c r="E142">
        <v>49</v>
      </c>
      <c r="F142">
        <v>64</v>
      </c>
      <c r="G142">
        <v>2</v>
      </c>
      <c r="H142" s="8">
        <v>16135</v>
      </c>
      <c r="I142" s="2" t="s">
        <v>124</v>
      </c>
      <c r="J142" s="2" t="s">
        <v>135</v>
      </c>
    </row>
    <row r="143" spans="1:10" x14ac:dyDescent="0.35">
      <c r="A143" s="2" t="s">
        <v>289</v>
      </c>
      <c r="B143" s="2" t="s">
        <v>141</v>
      </c>
      <c r="C143" s="2" t="s">
        <v>127</v>
      </c>
      <c r="D143">
        <v>319</v>
      </c>
      <c r="E143">
        <v>123</v>
      </c>
      <c r="F143">
        <v>160</v>
      </c>
      <c r="G143">
        <v>8</v>
      </c>
      <c r="H143" s="8">
        <v>38908</v>
      </c>
      <c r="I143" s="2" t="s">
        <v>128</v>
      </c>
      <c r="J143" s="2" t="s">
        <v>135</v>
      </c>
    </row>
    <row r="144" spans="1:10" x14ac:dyDescent="0.35">
      <c r="A144" s="2" t="s">
        <v>290</v>
      </c>
      <c r="B144" s="2" t="s">
        <v>126</v>
      </c>
      <c r="C144" s="2" t="s">
        <v>123</v>
      </c>
      <c r="D144">
        <v>351</v>
      </c>
      <c r="E144">
        <v>115</v>
      </c>
      <c r="F144">
        <v>206</v>
      </c>
      <c r="G144">
        <v>4</v>
      </c>
      <c r="H144" s="8">
        <v>44277</v>
      </c>
      <c r="I144" s="2" t="s">
        <v>128</v>
      </c>
      <c r="J144" s="2" t="s">
        <v>129</v>
      </c>
    </row>
    <row r="145" spans="1:10" x14ac:dyDescent="0.35">
      <c r="A145" s="2" t="s">
        <v>291</v>
      </c>
      <c r="B145" s="2" t="s">
        <v>137</v>
      </c>
      <c r="C145" s="2" t="s">
        <v>131</v>
      </c>
      <c r="D145">
        <v>367</v>
      </c>
      <c r="E145">
        <v>36</v>
      </c>
      <c r="F145">
        <v>338</v>
      </c>
      <c r="G145">
        <v>3</v>
      </c>
      <c r="H145" s="8">
        <v>111829</v>
      </c>
      <c r="I145" s="2" t="s">
        <v>128</v>
      </c>
      <c r="J145" s="2" t="s">
        <v>129</v>
      </c>
    </row>
    <row r="146" spans="1:10" x14ac:dyDescent="0.35">
      <c r="A146" s="2" t="s">
        <v>292</v>
      </c>
      <c r="B146" s="2" t="s">
        <v>141</v>
      </c>
      <c r="C146" s="2" t="s">
        <v>123</v>
      </c>
      <c r="D146">
        <v>366</v>
      </c>
      <c r="E146">
        <v>39</v>
      </c>
      <c r="F146">
        <v>280</v>
      </c>
      <c r="G146">
        <v>18</v>
      </c>
      <c r="H146" s="8">
        <v>76711</v>
      </c>
      <c r="I146" s="2" t="s">
        <v>128</v>
      </c>
      <c r="J146" s="2" t="s">
        <v>133</v>
      </c>
    </row>
    <row r="147" spans="1:10" x14ac:dyDescent="0.35">
      <c r="A147" s="2" t="s">
        <v>293</v>
      </c>
      <c r="B147" s="2" t="s">
        <v>122</v>
      </c>
      <c r="C147" s="2" t="s">
        <v>127</v>
      </c>
      <c r="D147">
        <v>86</v>
      </c>
      <c r="E147">
        <v>62</v>
      </c>
      <c r="F147">
        <v>460</v>
      </c>
      <c r="G147">
        <v>36</v>
      </c>
      <c r="H147" s="8">
        <v>7832</v>
      </c>
      <c r="I147" s="2" t="s">
        <v>124</v>
      </c>
      <c r="J147" s="2" t="s">
        <v>125</v>
      </c>
    </row>
    <row r="148" spans="1:10" x14ac:dyDescent="0.35">
      <c r="A148" s="2" t="s">
        <v>294</v>
      </c>
      <c r="B148" s="2" t="s">
        <v>122</v>
      </c>
      <c r="C148" s="2" t="s">
        <v>131</v>
      </c>
      <c r="D148">
        <v>248</v>
      </c>
      <c r="E148">
        <v>78</v>
      </c>
      <c r="F148">
        <v>469</v>
      </c>
      <c r="G148">
        <v>19</v>
      </c>
      <c r="H148" s="8">
        <v>96166</v>
      </c>
      <c r="I148" s="2" t="s">
        <v>124</v>
      </c>
      <c r="J148" s="2" t="s">
        <v>125</v>
      </c>
    </row>
    <row r="149" spans="1:10" x14ac:dyDescent="0.35">
      <c r="A149" s="2" t="s">
        <v>295</v>
      </c>
      <c r="B149" s="2" t="s">
        <v>139</v>
      </c>
      <c r="C149" s="2" t="s">
        <v>127</v>
      </c>
      <c r="D149">
        <v>73</v>
      </c>
      <c r="E149">
        <v>97</v>
      </c>
      <c r="F149">
        <v>206</v>
      </c>
      <c r="G149">
        <v>2</v>
      </c>
      <c r="H149" s="8">
        <v>66088</v>
      </c>
      <c r="I149" s="2" t="s">
        <v>124</v>
      </c>
      <c r="J149" s="2" t="s">
        <v>129</v>
      </c>
    </row>
    <row r="150" spans="1:10" x14ac:dyDescent="0.35">
      <c r="A150" s="2" t="s">
        <v>296</v>
      </c>
      <c r="B150" s="2" t="s">
        <v>130</v>
      </c>
      <c r="C150" s="2" t="s">
        <v>136</v>
      </c>
      <c r="D150">
        <v>270</v>
      </c>
      <c r="E150">
        <v>62</v>
      </c>
      <c r="F150">
        <v>87</v>
      </c>
      <c r="G150">
        <v>1</v>
      </c>
      <c r="H150" s="8">
        <v>14706</v>
      </c>
      <c r="I150" s="2" t="s">
        <v>124</v>
      </c>
      <c r="J150" s="2" t="s">
        <v>133</v>
      </c>
    </row>
    <row r="151" spans="1:10" x14ac:dyDescent="0.35">
      <c r="A151" s="2" t="s">
        <v>297</v>
      </c>
      <c r="B151" s="2" t="s">
        <v>134</v>
      </c>
      <c r="C151" s="2" t="s">
        <v>131</v>
      </c>
      <c r="D151">
        <v>227</v>
      </c>
      <c r="E151">
        <v>75</v>
      </c>
      <c r="F151">
        <v>490</v>
      </c>
      <c r="G151">
        <v>0</v>
      </c>
      <c r="H151" s="8">
        <v>177773</v>
      </c>
      <c r="I151" s="2" t="s">
        <v>124</v>
      </c>
      <c r="J151" s="2" t="s">
        <v>125</v>
      </c>
    </row>
    <row r="152" spans="1:10" x14ac:dyDescent="0.35">
      <c r="A152" s="2" t="s">
        <v>298</v>
      </c>
      <c r="B152" s="2" t="s">
        <v>126</v>
      </c>
      <c r="C152" s="2" t="s">
        <v>136</v>
      </c>
      <c r="D152">
        <v>405</v>
      </c>
      <c r="E152">
        <v>115</v>
      </c>
      <c r="F152">
        <v>146</v>
      </c>
      <c r="G152">
        <v>10</v>
      </c>
      <c r="H152" s="8">
        <v>39973</v>
      </c>
      <c r="I152" s="2" t="s">
        <v>128</v>
      </c>
      <c r="J152" s="2" t="s">
        <v>133</v>
      </c>
    </row>
    <row r="153" spans="1:10" x14ac:dyDescent="0.35">
      <c r="A153" s="2" t="s">
        <v>299</v>
      </c>
      <c r="B153" s="2" t="s">
        <v>139</v>
      </c>
      <c r="C153" s="2" t="s">
        <v>123</v>
      </c>
      <c r="D153">
        <v>190</v>
      </c>
      <c r="E153">
        <v>15</v>
      </c>
      <c r="F153">
        <v>460</v>
      </c>
      <c r="G153">
        <v>4</v>
      </c>
      <c r="H153" s="8">
        <v>124267</v>
      </c>
      <c r="I153" s="2" t="s">
        <v>124</v>
      </c>
      <c r="J153" s="2" t="s">
        <v>133</v>
      </c>
    </row>
    <row r="154" spans="1:10" x14ac:dyDescent="0.35">
      <c r="A154" s="2" t="s">
        <v>300</v>
      </c>
      <c r="B154" s="2" t="s">
        <v>134</v>
      </c>
      <c r="C154" s="2" t="s">
        <v>123</v>
      </c>
      <c r="D154">
        <v>97</v>
      </c>
      <c r="E154">
        <v>45</v>
      </c>
      <c r="F154">
        <v>488</v>
      </c>
      <c r="G154">
        <v>22</v>
      </c>
      <c r="H154" s="8">
        <v>145474</v>
      </c>
      <c r="I154" s="2" t="s">
        <v>124</v>
      </c>
      <c r="J154" s="2" t="s">
        <v>133</v>
      </c>
    </row>
    <row r="155" spans="1:10" x14ac:dyDescent="0.35">
      <c r="A155" s="2" t="s">
        <v>301</v>
      </c>
      <c r="B155" s="2" t="s">
        <v>134</v>
      </c>
      <c r="C155" s="2" t="s">
        <v>131</v>
      </c>
      <c r="D155">
        <v>107</v>
      </c>
      <c r="E155">
        <v>110</v>
      </c>
      <c r="F155">
        <v>338</v>
      </c>
      <c r="G155">
        <v>7</v>
      </c>
      <c r="H155" s="8">
        <v>120386</v>
      </c>
      <c r="I155" s="2" t="s">
        <v>128</v>
      </c>
      <c r="J155" s="2" t="s">
        <v>140</v>
      </c>
    </row>
    <row r="156" spans="1:10" x14ac:dyDescent="0.35">
      <c r="A156" s="2" t="s">
        <v>302</v>
      </c>
      <c r="B156" s="2" t="s">
        <v>141</v>
      </c>
      <c r="C156" s="2" t="s">
        <v>131</v>
      </c>
      <c r="D156">
        <v>355</v>
      </c>
      <c r="E156">
        <v>135</v>
      </c>
      <c r="F156">
        <v>303</v>
      </c>
      <c r="G156">
        <v>13</v>
      </c>
      <c r="H156" s="8">
        <v>71797</v>
      </c>
      <c r="I156" s="2" t="s">
        <v>128</v>
      </c>
      <c r="J156" s="2" t="s">
        <v>135</v>
      </c>
    </row>
    <row r="157" spans="1:10" x14ac:dyDescent="0.35">
      <c r="A157" s="2" t="s">
        <v>303</v>
      </c>
      <c r="B157" s="2" t="s">
        <v>134</v>
      </c>
      <c r="C157" s="2" t="s">
        <v>127</v>
      </c>
      <c r="D157">
        <v>297</v>
      </c>
      <c r="E157">
        <v>82</v>
      </c>
      <c r="F157">
        <v>245</v>
      </c>
      <c r="G157">
        <v>12</v>
      </c>
      <c r="H157" s="8">
        <v>78278</v>
      </c>
      <c r="I157" s="2" t="s">
        <v>124</v>
      </c>
      <c r="J157" s="2" t="s">
        <v>133</v>
      </c>
    </row>
    <row r="158" spans="1:10" x14ac:dyDescent="0.35">
      <c r="A158" s="2" t="s">
        <v>304</v>
      </c>
      <c r="B158" s="2" t="s">
        <v>130</v>
      </c>
      <c r="C158" s="2" t="s">
        <v>127</v>
      </c>
      <c r="D158">
        <v>90</v>
      </c>
      <c r="E158">
        <v>84</v>
      </c>
      <c r="F158">
        <v>135</v>
      </c>
      <c r="G158">
        <v>8</v>
      </c>
      <c r="H158" s="8">
        <v>39343</v>
      </c>
      <c r="I158" s="2" t="s">
        <v>124</v>
      </c>
      <c r="J158" s="2" t="s">
        <v>140</v>
      </c>
    </row>
    <row r="159" spans="1:10" x14ac:dyDescent="0.35">
      <c r="A159" s="2" t="s">
        <v>305</v>
      </c>
      <c r="B159" s="2" t="s">
        <v>122</v>
      </c>
      <c r="C159" s="2" t="s">
        <v>136</v>
      </c>
      <c r="D159">
        <v>84</v>
      </c>
      <c r="E159">
        <v>25</v>
      </c>
      <c r="F159">
        <v>371</v>
      </c>
      <c r="G159">
        <v>6</v>
      </c>
      <c r="H159" s="8">
        <v>80417</v>
      </c>
      <c r="I159" s="2" t="s">
        <v>124</v>
      </c>
      <c r="J159" s="2" t="s">
        <v>129</v>
      </c>
    </row>
    <row r="160" spans="1:10" x14ac:dyDescent="0.35">
      <c r="A160" s="2" t="s">
        <v>306</v>
      </c>
      <c r="B160" s="2" t="s">
        <v>139</v>
      </c>
      <c r="C160" s="2" t="s">
        <v>131</v>
      </c>
      <c r="D160">
        <v>330</v>
      </c>
      <c r="E160">
        <v>73</v>
      </c>
      <c r="F160">
        <v>59</v>
      </c>
      <c r="G160">
        <v>0</v>
      </c>
      <c r="H160" s="8">
        <v>2181</v>
      </c>
      <c r="I160" s="2" t="s">
        <v>124</v>
      </c>
      <c r="J160" s="2" t="s">
        <v>125</v>
      </c>
    </row>
    <row r="161" spans="1:10" x14ac:dyDescent="0.35">
      <c r="A161" s="2" t="s">
        <v>307</v>
      </c>
      <c r="B161" s="2" t="s">
        <v>134</v>
      </c>
      <c r="C161" s="2" t="s">
        <v>123</v>
      </c>
      <c r="D161">
        <v>79</v>
      </c>
      <c r="E161">
        <v>85</v>
      </c>
      <c r="F161">
        <v>54</v>
      </c>
      <c r="G161">
        <v>0</v>
      </c>
      <c r="H161" s="8">
        <v>18865</v>
      </c>
      <c r="I161" s="2" t="s">
        <v>124</v>
      </c>
      <c r="J161" s="2" t="s">
        <v>135</v>
      </c>
    </row>
    <row r="162" spans="1:10" x14ac:dyDescent="0.35">
      <c r="A162" s="2" t="s">
        <v>308</v>
      </c>
      <c r="B162" s="2" t="s">
        <v>141</v>
      </c>
      <c r="C162" s="2" t="s">
        <v>127</v>
      </c>
      <c r="D162">
        <v>379</v>
      </c>
      <c r="E162">
        <v>44</v>
      </c>
      <c r="F162">
        <v>172</v>
      </c>
      <c r="G162">
        <v>12</v>
      </c>
      <c r="H162" s="8">
        <v>54113</v>
      </c>
      <c r="I162" s="2" t="s">
        <v>128</v>
      </c>
      <c r="J162" s="2" t="s">
        <v>125</v>
      </c>
    </row>
    <row r="163" spans="1:10" x14ac:dyDescent="0.35">
      <c r="A163" s="2" t="s">
        <v>309</v>
      </c>
      <c r="B163" s="2" t="s">
        <v>130</v>
      </c>
      <c r="C163" s="2" t="s">
        <v>127</v>
      </c>
      <c r="D163">
        <v>332</v>
      </c>
      <c r="E163">
        <v>48</v>
      </c>
      <c r="F163">
        <v>379</v>
      </c>
      <c r="G163">
        <v>26</v>
      </c>
      <c r="H163" s="8">
        <v>137443</v>
      </c>
      <c r="I163" s="2" t="s">
        <v>124</v>
      </c>
      <c r="J163" s="2" t="s">
        <v>135</v>
      </c>
    </row>
    <row r="164" spans="1:10" x14ac:dyDescent="0.35">
      <c r="A164" s="2" t="s">
        <v>310</v>
      </c>
      <c r="B164" s="2" t="s">
        <v>137</v>
      </c>
      <c r="C164" s="2" t="s">
        <v>123</v>
      </c>
      <c r="D164">
        <v>83</v>
      </c>
      <c r="E164">
        <v>63</v>
      </c>
      <c r="F164">
        <v>402</v>
      </c>
      <c r="G164">
        <v>19</v>
      </c>
      <c r="H164" s="8">
        <v>147463</v>
      </c>
      <c r="I164" s="2" t="s">
        <v>124</v>
      </c>
      <c r="J164" s="2" t="s">
        <v>125</v>
      </c>
    </row>
    <row r="165" spans="1:10" x14ac:dyDescent="0.35">
      <c r="A165" s="2" t="s">
        <v>311</v>
      </c>
      <c r="B165" s="2" t="s">
        <v>122</v>
      </c>
      <c r="C165" s="2" t="s">
        <v>127</v>
      </c>
      <c r="D165">
        <v>84</v>
      </c>
      <c r="E165">
        <v>13</v>
      </c>
      <c r="F165">
        <v>167</v>
      </c>
      <c r="G165">
        <v>8</v>
      </c>
      <c r="H165" s="8">
        <v>54624</v>
      </c>
      <c r="I165" s="2" t="s">
        <v>124</v>
      </c>
      <c r="J165" s="2" t="s">
        <v>135</v>
      </c>
    </row>
    <row r="166" spans="1:10" x14ac:dyDescent="0.35">
      <c r="A166" s="2" t="s">
        <v>312</v>
      </c>
      <c r="B166" s="2" t="s">
        <v>122</v>
      </c>
      <c r="C166" s="2" t="s">
        <v>136</v>
      </c>
      <c r="D166">
        <v>445</v>
      </c>
      <c r="E166">
        <v>55</v>
      </c>
      <c r="F166">
        <v>343</v>
      </c>
      <c r="G166">
        <v>18</v>
      </c>
      <c r="H166" s="8">
        <v>123224</v>
      </c>
      <c r="I166" s="2" t="s">
        <v>128</v>
      </c>
      <c r="J166" s="2" t="s">
        <v>125</v>
      </c>
    </row>
    <row r="167" spans="1:10" x14ac:dyDescent="0.35">
      <c r="A167" s="2" t="s">
        <v>313</v>
      </c>
      <c r="B167" s="2" t="s">
        <v>139</v>
      </c>
      <c r="C167" s="2" t="s">
        <v>131</v>
      </c>
      <c r="D167">
        <v>200</v>
      </c>
      <c r="E167">
        <v>40</v>
      </c>
      <c r="F167">
        <v>446</v>
      </c>
      <c r="G167">
        <v>6</v>
      </c>
      <c r="H167" s="8">
        <v>144668</v>
      </c>
      <c r="I167" s="2" t="s">
        <v>124</v>
      </c>
      <c r="J167" s="2" t="s">
        <v>125</v>
      </c>
    </row>
    <row r="168" spans="1:10" x14ac:dyDescent="0.35">
      <c r="A168" s="2" t="s">
        <v>314</v>
      </c>
      <c r="B168" s="2" t="s">
        <v>122</v>
      </c>
      <c r="C168" s="2" t="s">
        <v>123</v>
      </c>
      <c r="D168">
        <v>198</v>
      </c>
      <c r="E168">
        <v>56</v>
      </c>
      <c r="F168">
        <v>208</v>
      </c>
      <c r="G168">
        <v>15</v>
      </c>
      <c r="H168" s="8">
        <v>66567</v>
      </c>
      <c r="I168" s="2" t="s">
        <v>124</v>
      </c>
      <c r="J168" s="2" t="s">
        <v>125</v>
      </c>
    </row>
    <row r="169" spans="1:10" x14ac:dyDescent="0.35">
      <c r="A169" s="2" t="s">
        <v>315</v>
      </c>
      <c r="B169" s="2" t="s">
        <v>134</v>
      </c>
      <c r="C169" s="2" t="s">
        <v>131</v>
      </c>
      <c r="D169">
        <v>375</v>
      </c>
      <c r="E169">
        <v>27</v>
      </c>
      <c r="F169">
        <v>352</v>
      </c>
      <c r="G169">
        <v>11</v>
      </c>
      <c r="H169" s="8">
        <v>107238</v>
      </c>
      <c r="I169" s="2" t="s">
        <v>128</v>
      </c>
      <c r="J169" s="2" t="s">
        <v>125</v>
      </c>
    </row>
    <row r="170" spans="1:10" x14ac:dyDescent="0.35">
      <c r="A170" s="2" t="s">
        <v>316</v>
      </c>
      <c r="B170" s="2" t="s">
        <v>141</v>
      </c>
      <c r="C170" s="2" t="s">
        <v>127</v>
      </c>
      <c r="D170">
        <v>429</v>
      </c>
      <c r="E170">
        <v>135</v>
      </c>
      <c r="F170">
        <v>277</v>
      </c>
      <c r="G170">
        <v>8</v>
      </c>
      <c r="H170" s="8">
        <v>93676</v>
      </c>
      <c r="I170" s="2" t="s">
        <v>128</v>
      </c>
      <c r="J170" s="2" t="s">
        <v>129</v>
      </c>
    </row>
    <row r="171" spans="1:10" x14ac:dyDescent="0.35">
      <c r="A171" s="2" t="s">
        <v>317</v>
      </c>
      <c r="B171" s="2" t="s">
        <v>122</v>
      </c>
      <c r="C171" s="2" t="s">
        <v>127</v>
      </c>
      <c r="D171">
        <v>444</v>
      </c>
      <c r="E171">
        <v>93</v>
      </c>
      <c r="F171">
        <v>414</v>
      </c>
      <c r="G171">
        <v>17</v>
      </c>
      <c r="H171" s="8">
        <v>78516</v>
      </c>
      <c r="I171" s="2" t="s">
        <v>128</v>
      </c>
      <c r="J171" s="2" t="s">
        <v>133</v>
      </c>
    </row>
    <row r="172" spans="1:10" x14ac:dyDescent="0.35">
      <c r="A172" s="2" t="s">
        <v>318</v>
      </c>
      <c r="B172" s="2" t="s">
        <v>122</v>
      </c>
      <c r="C172" s="2" t="s">
        <v>123</v>
      </c>
      <c r="D172">
        <v>351</v>
      </c>
      <c r="E172">
        <v>105</v>
      </c>
      <c r="F172">
        <v>265</v>
      </c>
      <c r="G172">
        <v>0</v>
      </c>
      <c r="H172" s="8">
        <v>98108</v>
      </c>
      <c r="I172" s="2" t="s">
        <v>128</v>
      </c>
      <c r="J172" s="2" t="s">
        <v>132</v>
      </c>
    </row>
    <row r="173" spans="1:10" x14ac:dyDescent="0.35">
      <c r="A173" s="2" t="s">
        <v>319</v>
      </c>
      <c r="B173" s="2" t="s">
        <v>137</v>
      </c>
      <c r="C173" s="2" t="s">
        <v>136</v>
      </c>
      <c r="D173">
        <v>201</v>
      </c>
      <c r="E173">
        <v>120</v>
      </c>
      <c r="F173">
        <v>485</v>
      </c>
      <c r="G173">
        <v>6</v>
      </c>
      <c r="H173" s="8">
        <v>178461</v>
      </c>
      <c r="I173" s="2" t="s">
        <v>128</v>
      </c>
      <c r="J173" s="2" t="s">
        <v>140</v>
      </c>
    </row>
    <row r="174" spans="1:10" x14ac:dyDescent="0.35">
      <c r="A174" s="2" t="s">
        <v>320</v>
      </c>
      <c r="B174" s="2" t="s">
        <v>137</v>
      </c>
      <c r="C174" s="2" t="s">
        <v>138</v>
      </c>
      <c r="D174">
        <v>83</v>
      </c>
      <c r="E174">
        <v>80</v>
      </c>
      <c r="F174">
        <v>233</v>
      </c>
      <c r="G174">
        <v>13</v>
      </c>
      <c r="H174" s="8">
        <v>36654</v>
      </c>
      <c r="I174" s="2" t="s">
        <v>124</v>
      </c>
      <c r="J174" s="2" t="s">
        <v>132</v>
      </c>
    </row>
    <row r="175" spans="1:10" x14ac:dyDescent="0.35">
      <c r="A175" s="2" t="s">
        <v>321</v>
      </c>
      <c r="B175" s="2" t="s">
        <v>126</v>
      </c>
      <c r="C175" s="2" t="s">
        <v>123</v>
      </c>
      <c r="D175">
        <v>361</v>
      </c>
      <c r="E175">
        <v>22</v>
      </c>
      <c r="F175">
        <v>64</v>
      </c>
      <c r="G175">
        <v>0</v>
      </c>
      <c r="H175" s="8">
        <v>22813</v>
      </c>
      <c r="I175" s="2" t="s">
        <v>128</v>
      </c>
      <c r="J175" s="2" t="s">
        <v>132</v>
      </c>
    </row>
    <row r="176" spans="1:10" x14ac:dyDescent="0.35">
      <c r="A176" s="2" t="s">
        <v>322</v>
      </c>
      <c r="B176" s="2" t="s">
        <v>130</v>
      </c>
      <c r="C176" s="2" t="s">
        <v>138</v>
      </c>
      <c r="D176">
        <v>273</v>
      </c>
      <c r="E176">
        <v>85</v>
      </c>
      <c r="F176">
        <v>206</v>
      </c>
      <c r="G176">
        <v>9</v>
      </c>
      <c r="H176" s="8">
        <v>37537</v>
      </c>
      <c r="I176" s="2" t="s">
        <v>124</v>
      </c>
      <c r="J176" s="2" t="s">
        <v>135</v>
      </c>
    </row>
    <row r="177" spans="1:10" x14ac:dyDescent="0.35">
      <c r="A177" s="2" t="s">
        <v>323</v>
      </c>
      <c r="B177" s="2" t="s">
        <v>134</v>
      </c>
      <c r="C177" s="2" t="s">
        <v>138</v>
      </c>
      <c r="D177">
        <v>220</v>
      </c>
      <c r="E177">
        <v>92</v>
      </c>
      <c r="F177">
        <v>185</v>
      </c>
      <c r="G177">
        <v>3</v>
      </c>
      <c r="H177" s="8">
        <v>43249</v>
      </c>
      <c r="I177" s="2" t="s">
        <v>124</v>
      </c>
      <c r="J177" s="2" t="s">
        <v>133</v>
      </c>
    </row>
    <row r="178" spans="1:10" x14ac:dyDescent="0.35">
      <c r="A178" s="2" t="s">
        <v>324</v>
      </c>
      <c r="B178" s="2" t="s">
        <v>122</v>
      </c>
      <c r="C178" s="2" t="s">
        <v>136</v>
      </c>
      <c r="D178">
        <v>413</v>
      </c>
      <c r="E178">
        <v>114</v>
      </c>
      <c r="F178">
        <v>310</v>
      </c>
      <c r="G178">
        <v>9</v>
      </c>
      <c r="H178" s="8">
        <v>104122</v>
      </c>
      <c r="I178" s="2" t="s">
        <v>128</v>
      </c>
      <c r="J178" s="2" t="s">
        <v>135</v>
      </c>
    </row>
    <row r="179" spans="1:10" x14ac:dyDescent="0.35">
      <c r="A179" s="2" t="s">
        <v>325</v>
      </c>
      <c r="B179" s="2" t="s">
        <v>122</v>
      </c>
      <c r="C179" s="2" t="s">
        <v>138</v>
      </c>
      <c r="D179">
        <v>94</v>
      </c>
      <c r="E179">
        <v>70</v>
      </c>
      <c r="F179">
        <v>206</v>
      </c>
      <c r="G179">
        <v>4</v>
      </c>
      <c r="H179" s="8">
        <v>39179</v>
      </c>
      <c r="I179" s="2" t="s">
        <v>124</v>
      </c>
      <c r="J179" s="2" t="s">
        <v>133</v>
      </c>
    </row>
    <row r="180" spans="1:10" x14ac:dyDescent="0.35">
      <c r="A180" s="2" t="s">
        <v>326</v>
      </c>
      <c r="B180" s="2" t="s">
        <v>141</v>
      </c>
      <c r="C180" s="2" t="s">
        <v>138</v>
      </c>
      <c r="D180">
        <v>247</v>
      </c>
      <c r="E180">
        <v>28</v>
      </c>
      <c r="F180">
        <v>96</v>
      </c>
      <c r="G180">
        <v>2</v>
      </c>
      <c r="H180" s="8">
        <v>34031</v>
      </c>
      <c r="I180" s="2" t="s">
        <v>124</v>
      </c>
      <c r="J180" s="2" t="s">
        <v>133</v>
      </c>
    </row>
    <row r="181" spans="1:10" x14ac:dyDescent="0.35">
      <c r="A181" s="2" t="s">
        <v>327</v>
      </c>
      <c r="B181" s="2" t="s">
        <v>126</v>
      </c>
      <c r="C181" s="2" t="s">
        <v>136</v>
      </c>
      <c r="D181">
        <v>55</v>
      </c>
      <c r="E181">
        <v>50</v>
      </c>
      <c r="F181">
        <v>373</v>
      </c>
      <c r="G181">
        <v>21</v>
      </c>
      <c r="H181" s="8">
        <v>133547</v>
      </c>
      <c r="I181" s="2" t="s">
        <v>124</v>
      </c>
      <c r="J181" s="2" t="s">
        <v>125</v>
      </c>
    </row>
    <row r="182" spans="1:10" x14ac:dyDescent="0.35">
      <c r="A182" s="2" t="s">
        <v>328</v>
      </c>
      <c r="B182" s="2" t="s">
        <v>130</v>
      </c>
      <c r="C182" s="2" t="s">
        <v>138</v>
      </c>
      <c r="D182">
        <v>237</v>
      </c>
      <c r="E182">
        <v>61</v>
      </c>
      <c r="F182">
        <v>381</v>
      </c>
      <c r="G182">
        <v>9</v>
      </c>
      <c r="H182" s="8">
        <v>105486</v>
      </c>
      <c r="I182" s="2" t="s">
        <v>124</v>
      </c>
      <c r="J182" s="2" t="s">
        <v>129</v>
      </c>
    </row>
    <row r="183" spans="1:10" x14ac:dyDescent="0.35">
      <c r="A183" s="2" t="s">
        <v>329</v>
      </c>
      <c r="B183" s="2" t="s">
        <v>126</v>
      </c>
      <c r="C183" s="2" t="s">
        <v>138</v>
      </c>
      <c r="D183">
        <v>73</v>
      </c>
      <c r="E183">
        <v>100</v>
      </c>
      <c r="F183">
        <v>222</v>
      </c>
      <c r="G183">
        <v>10</v>
      </c>
      <c r="H183" s="8">
        <v>33654</v>
      </c>
      <c r="I183" s="2" t="s">
        <v>124</v>
      </c>
      <c r="J183" s="2" t="s">
        <v>125</v>
      </c>
    </row>
    <row r="184" spans="1:10" x14ac:dyDescent="0.35">
      <c r="A184" s="2" t="s">
        <v>330</v>
      </c>
      <c r="B184" s="2" t="s">
        <v>139</v>
      </c>
      <c r="C184" s="2" t="s">
        <v>138</v>
      </c>
      <c r="D184">
        <v>98</v>
      </c>
      <c r="E184">
        <v>90</v>
      </c>
      <c r="F184">
        <v>179</v>
      </c>
      <c r="G184">
        <v>6</v>
      </c>
      <c r="H184" s="8">
        <v>39695</v>
      </c>
      <c r="I184" s="2" t="s">
        <v>124</v>
      </c>
      <c r="J184" s="2" t="s">
        <v>129</v>
      </c>
    </row>
    <row r="185" spans="1:10" x14ac:dyDescent="0.35">
      <c r="A185" s="2" t="s">
        <v>331</v>
      </c>
      <c r="B185" s="2" t="s">
        <v>130</v>
      </c>
      <c r="C185" s="2" t="s">
        <v>123</v>
      </c>
      <c r="D185">
        <v>97</v>
      </c>
      <c r="E185">
        <v>60</v>
      </c>
      <c r="F185">
        <v>460</v>
      </c>
      <c r="G185">
        <v>24</v>
      </c>
      <c r="H185" s="8">
        <v>139947</v>
      </c>
      <c r="I185" s="2" t="s">
        <v>124</v>
      </c>
      <c r="J185" s="2" t="s">
        <v>135</v>
      </c>
    </row>
    <row r="186" spans="1:10" x14ac:dyDescent="0.35">
      <c r="A186" s="2" t="s">
        <v>332</v>
      </c>
      <c r="B186" s="2" t="s">
        <v>122</v>
      </c>
      <c r="C186" s="2" t="s">
        <v>123</v>
      </c>
      <c r="D186">
        <v>310</v>
      </c>
      <c r="E186">
        <v>148</v>
      </c>
      <c r="F186">
        <v>144</v>
      </c>
      <c r="G186">
        <v>10</v>
      </c>
      <c r="H186" s="8">
        <v>56923</v>
      </c>
      <c r="I186" s="2" t="s">
        <v>128</v>
      </c>
      <c r="J186" s="2" t="s">
        <v>129</v>
      </c>
    </row>
    <row r="187" spans="1:10" x14ac:dyDescent="0.35">
      <c r="A187" s="2" t="s">
        <v>333</v>
      </c>
      <c r="B187" s="2" t="s">
        <v>122</v>
      </c>
      <c r="C187" s="2" t="s">
        <v>123</v>
      </c>
      <c r="D187">
        <v>348</v>
      </c>
      <c r="E187">
        <v>95</v>
      </c>
      <c r="F187">
        <v>164</v>
      </c>
      <c r="G187">
        <v>9</v>
      </c>
      <c r="H187" s="8">
        <v>50504</v>
      </c>
      <c r="I187" s="2" t="s">
        <v>124</v>
      </c>
      <c r="J187" s="2" t="s">
        <v>135</v>
      </c>
    </row>
    <row r="188" spans="1:10" x14ac:dyDescent="0.35">
      <c r="A188" s="2" t="s">
        <v>334</v>
      </c>
      <c r="B188" s="2" t="s">
        <v>130</v>
      </c>
      <c r="C188" s="2" t="s">
        <v>136</v>
      </c>
      <c r="D188">
        <v>283</v>
      </c>
      <c r="E188">
        <v>43</v>
      </c>
      <c r="F188">
        <v>292</v>
      </c>
      <c r="G188">
        <v>5</v>
      </c>
      <c r="H188" s="8">
        <v>62766</v>
      </c>
      <c r="I188" s="2" t="s">
        <v>124</v>
      </c>
      <c r="J188" s="2" t="s">
        <v>132</v>
      </c>
    </row>
    <row r="189" spans="1:10" x14ac:dyDescent="0.35">
      <c r="A189" s="2" t="s">
        <v>335</v>
      </c>
      <c r="B189" s="2" t="s">
        <v>122</v>
      </c>
      <c r="C189" s="2" t="s">
        <v>127</v>
      </c>
      <c r="D189">
        <v>435</v>
      </c>
      <c r="E189">
        <v>24</v>
      </c>
      <c r="F189">
        <v>469</v>
      </c>
      <c r="G189">
        <v>1</v>
      </c>
      <c r="H189" s="8">
        <v>144687</v>
      </c>
      <c r="I189" s="2" t="s">
        <v>128</v>
      </c>
      <c r="J189" s="2" t="s">
        <v>132</v>
      </c>
    </row>
    <row r="190" spans="1:10" x14ac:dyDescent="0.35">
      <c r="A190" s="2" t="s">
        <v>336</v>
      </c>
      <c r="B190" s="2" t="s">
        <v>134</v>
      </c>
      <c r="C190" s="2" t="s">
        <v>138</v>
      </c>
      <c r="D190">
        <v>200</v>
      </c>
      <c r="E190">
        <v>31</v>
      </c>
      <c r="F190">
        <v>341</v>
      </c>
      <c r="G190">
        <v>7</v>
      </c>
      <c r="H190" s="8">
        <v>97184</v>
      </c>
      <c r="I190" s="2" t="s">
        <v>124</v>
      </c>
      <c r="J190" s="2" t="s">
        <v>129</v>
      </c>
    </row>
    <row r="191" spans="1:10" x14ac:dyDescent="0.35">
      <c r="A191" s="2" t="s">
        <v>337</v>
      </c>
      <c r="B191" s="2" t="s">
        <v>130</v>
      </c>
      <c r="C191" s="2" t="s">
        <v>138</v>
      </c>
      <c r="D191">
        <v>164</v>
      </c>
      <c r="E191">
        <v>44</v>
      </c>
      <c r="F191">
        <v>331</v>
      </c>
      <c r="G191">
        <v>15</v>
      </c>
      <c r="H191" s="8">
        <v>114182</v>
      </c>
      <c r="I191" s="2" t="s">
        <v>124</v>
      </c>
      <c r="J191" s="2" t="s">
        <v>129</v>
      </c>
    </row>
    <row r="192" spans="1:10" x14ac:dyDescent="0.35">
      <c r="A192" s="2" t="s">
        <v>338</v>
      </c>
      <c r="B192" s="2" t="s">
        <v>126</v>
      </c>
      <c r="C192" s="2" t="s">
        <v>136</v>
      </c>
      <c r="D192">
        <v>397</v>
      </c>
      <c r="E192">
        <v>32</v>
      </c>
      <c r="F192">
        <v>348</v>
      </c>
      <c r="G192">
        <v>1</v>
      </c>
      <c r="H192" s="8">
        <v>61507</v>
      </c>
      <c r="I192" s="2" t="s">
        <v>128</v>
      </c>
      <c r="J192" s="2" t="s">
        <v>135</v>
      </c>
    </row>
    <row r="193" spans="1:10" x14ac:dyDescent="0.35">
      <c r="A193" s="2" t="s">
        <v>339</v>
      </c>
      <c r="B193" s="2" t="s">
        <v>130</v>
      </c>
      <c r="C193" s="2" t="s">
        <v>138</v>
      </c>
      <c r="D193">
        <v>139</v>
      </c>
      <c r="E193">
        <v>36</v>
      </c>
      <c r="F193">
        <v>332</v>
      </c>
      <c r="G193">
        <v>13</v>
      </c>
      <c r="H193" s="8">
        <v>112965</v>
      </c>
      <c r="I193" s="2" t="s">
        <v>124</v>
      </c>
      <c r="J193" s="2" t="s">
        <v>125</v>
      </c>
    </row>
    <row r="194" spans="1:10" x14ac:dyDescent="0.35">
      <c r="A194" s="2" t="s">
        <v>340</v>
      </c>
      <c r="B194" s="2" t="s">
        <v>122</v>
      </c>
      <c r="C194" s="2" t="s">
        <v>123</v>
      </c>
      <c r="D194">
        <v>435</v>
      </c>
      <c r="E194">
        <v>50</v>
      </c>
      <c r="F194">
        <v>118</v>
      </c>
      <c r="G194">
        <v>5</v>
      </c>
      <c r="H194" s="8">
        <v>33667</v>
      </c>
      <c r="I194" s="2" t="s">
        <v>128</v>
      </c>
      <c r="J194" s="2" t="s">
        <v>135</v>
      </c>
    </row>
    <row r="195" spans="1:10" x14ac:dyDescent="0.35">
      <c r="A195" s="2" t="s">
        <v>341</v>
      </c>
      <c r="B195" s="2" t="s">
        <v>134</v>
      </c>
      <c r="C195" s="2" t="s">
        <v>127</v>
      </c>
      <c r="D195">
        <v>55</v>
      </c>
      <c r="E195">
        <v>34</v>
      </c>
      <c r="F195">
        <v>197</v>
      </c>
      <c r="G195">
        <v>5</v>
      </c>
      <c r="H195" s="8">
        <v>76977</v>
      </c>
      <c r="I195" s="2" t="s">
        <v>124</v>
      </c>
      <c r="J195" s="2" t="s">
        <v>125</v>
      </c>
    </row>
    <row r="196" spans="1:10" x14ac:dyDescent="0.35">
      <c r="A196" s="2" t="s">
        <v>342</v>
      </c>
      <c r="B196" s="2" t="s">
        <v>134</v>
      </c>
      <c r="C196" s="2" t="s">
        <v>131</v>
      </c>
      <c r="D196">
        <v>438</v>
      </c>
      <c r="E196">
        <v>136</v>
      </c>
      <c r="F196">
        <v>60</v>
      </c>
      <c r="G196">
        <v>3</v>
      </c>
      <c r="H196" s="8">
        <v>14128</v>
      </c>
      <c r="I196" s="2" t="s">
        <v>128</v>
      </c>
      <c r="J196" s="2" t="s">
        <v>132</v>
      </c>
    </row>
    <row r="197" spans="1:10" x14ac:dyDescent="0.35">
      <c r="A197" s="2" t="s">
        <v>343</v>
      </c>
      <c r="B197" s="2" t="s">
        <v>139</v>
      </c>
      <c r="C197" s="2" t="s">
        <v>138</v>
      </c>
      <c r="D197">
        <v>67</v>
      </c>
      <c r="E197">
        <v>21</v>
      </c>
      <c r="F197">
        <v>303</v>
      </c>
      <c r="G197">
        <v>2</v>
      </c>
      <c r="H197" s="8">
        <v>93371</v>
      </c>
      <c r="I197" s="2" t="s">
        <v>124</v>
      </c>
      <c r="J197" s="2" t="s">
        <v>133</v>
      </c>
    </row>
    <row r="198" spans="1:10" x14ac:dyDescent="0.35">
      <c r="A198" s="2" t="s">
        <v>344</v>
      </c>
      <c r="B198" s="2" t="s">
        <v>126</v>
      </c>
      <c r="C198" s="2" t="s">
        <v>123</v>
      </c>
      <c r="D198">
        <v>406</v>
      </c>
      <c r="E198">
        <v>83</v>
      </c>
      <c r="F198">
        <v>379</v>
      </c>
      <c r="G198">
        <v>2</v>
      </c>
      <c r="H198" s="8">
        <v>14516</v>
      </c>
      <c r="I198" s="2" t="s">
        <v>128</v>
      </c>
      <c r="J198" s="2" t="s">
        <v>129</v>
      </c>
    </row>
    <row r="199" spans="1:10" x14ac:dyDescent="0.35">
      <c r="A199" s="2" t="s">
        <v>345</v>
      </c>
      <c r="B199" s="2" t="s">
        <v>137</v>
      </c>
      <c r="C199" s="2" t="s">
        <v>131</v>
      </c>
      <c r="D199">
        <v>261</v>
      </c>
      <c r="E199">
        <v>67</v>
      </c>
      <c r="F199">
        <v>409</v>
      </c>
      <c r="G199">
        <v>23</v>
      </c>
      <c r="H199" s="8">
        <v>71832</v>
      </c>
      <c r="I199" s="2" t="s">
        <v>124</v>
      </c>
      <c r="J199" s="2" t="s">
        <v>125</v>
      </c>
    </row>
    <row r="200" spans="1:10" x14ac:dyDescent="0.35">
      <c r="A200" s="2" t="s">
        <v>346</v>
      </c>
      <c r="B200" s="2" t="s">
        <v>137</v>
      </c>
      <c r="C200" s="2" t="s">
        <v>127</v>
      </c>
      <c r="D200">
        <v>447</v>
      </c>
      <c r="E200">
        <v>148</v>
      </c>
      <c r="F200">
        <v>87</v>
      </c>
      <c r="G200">
        <v>3</v>
      </c>
      <c r="H200" s="8">
        <v>33435</v>
      </c>
      <c r="I200" s="2" t="s">
        <v>128</v>
      </c>
      <c r="J200" s="2" t="s">
        <v>135</v>
      </c>
    </row>
    <row r="201" spans="1:10" x14ac:dyDescent="0.35">
      <c r="A201" s="2" t="s">
        <v>347</v>
      </c>
      <c r="B201" s="2" t="s">
        <v>130</v>
      </c>
      <c r="C201" s="2" t="s">
        <v>131</v>
      </c>
      <c r="D201">
        <v>80</v>
      </c>
      <c r="E201">
        <v>26</v>
      </c>
      <c r="F201">
        <v>183</v>
      </c>
      <c r="G201">
        <v>10</v>
      </c>
      <c r="H201" s="8">
        <v>58921</v>
      </c>
      <c r="I201" s="2" t="s">
        <v>124</v>
      </c>
      <c r="J201" s="2" t="s">
        <v>132</v>
      </c>
    </row>
    <row r="202" spans="1:10" x14ac:dyDescent="0.35">
      <c r="A202" s="2"/>
      <c r="B202" s="2"/>
      <c r="C202" s="2"/>
      <c r="H202" s="8"/>
      <c r="I202" s="2"/>
      <c r="J202" s="2"/>
    </row>
    <row r="203" spans="1:10" x14ac:dyDescent="0.35">
      <c r="A203" s="2"/>
      <c r="B203" s="2"/>
      <c r="C203" s="2"/>
      <c r="H203" s="8"/>
      <c r="I203" s="2"/>
      <c r="J203" s="2"/>
    </row>
  </sheetData>
  <conditionalFormatting sqref="H1:H1048576">
    <cfRule type="cellIs" dxfId="8" priority="2" operator="lessThan">
      <formula>20000</formula>
    </cfRule>
    <cfRule type="cellIs" dxfId="7" priority="3" operator="between">
      <formula>80000</formula>
      <formula>20000</formula>
    </cfRule>
    <cfRule type="cellIs" dxfId="6" priority="4" operator="between">
      <formula>80000</formula>
      <formula>140000</formula>
    </cfRule>
  </conditionalFormatting>
  <conditionalFormatting sqref="G1:G1048576">
    <cfRule type="cellIs" dxfId="5" priority="1" operator="equal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4ED4-CD89-47E3-AE4A-181CC368E8E6}">
  <dimension ref="A1:J51"/>
  <sheetViews>
    <sheetView tabSelected="1" topLeftCell="C7" workbookViewId="0">
      <selection activeCell="J15" sqref="J15"/>
    </sheetView>
  </sheetViews>
  <sheetFormatPr defaultRowHeight="14.5" x14ac:dyDescent="0.35"/>
  <cols>
    <col min="1" max="1" width="11.54296875" bestFit="1" customWidth="1"/>
    <col min="2" max="2" width="12.36328125" bestFit="1" customWidth="1"/>
    <col min="3" max="3" width="15.81640625" bestFit="1" customWidth="1"/>
    <col min="4" max="4" width="16.08984375" bestFit="1" customWidth="1"/>
    <col min="5" max="5" width="18" bestFit="1" customWidth="1"/>
    <col min="6" max="6" width="15.6328125" bestFit="1" customWidth="1"/>
    <col min="7" max="7" width="14.36328125" bestFit="1" customWidth="1"/>
    <col min="8" max="8" width="15.6328125" bestFit="1" customWidth="1"/>
  </cols>
  <sheetData>
    <row r="1" spans="1:10" x14ac:dyDescent="0.35">
      <c r="A1" t="s">
        <v>353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J1" t="s">
        <v>424</v>
      </c>
    </row>
    <row r="2" spans="1:10" x14ac:dyDescent="0.35">
      <c r="A2" s="2" t="s">
        <v>361</v>
      </c>
      <c r="B2" s="10">
        <v>46235</v>
      </c>
      <c r="C2" s="2" t="s">
        <v>362</v>
      </c>
      <c r="D2" s="2" t="s">
        <v>363</v>
      </c>
      <c r="E2">
        <v>13</v>
      </c>
      <c r="F2">
        <v>13687</v>
      </c>
      <c r="G2">
        <v>70</v>
      </c>
      <c r="H2" s="2" t="s">
        <v>364</v>
      </c>
      <c r="J2">
        <f>COUNTIF(D:D,"Nordeste")</f>
        <v>4</v>
      </c>
    </row>
    <row r="3" spans="1:10" x14ac:dyDescent="0.35">
      <c r="A3" s="2" t="s">
        <v>365</v>
      </c>
      <c r="B3" s="10">
        <v>46236</v>
      </c>
      <c r="C3" s="2" t="s">
        <v>366</v>
      </c>
      <c r="D3" s="2" t="s">
        <v>367</v>
      </c>
      <c r="E3">
        <v>9</v>
      </c>
      <c r="F3">
        <v>6158</v>
      </c>
      <c r="G3">
        <v>90</v>
      </c>
      <c r="H3" s="2" t="s">
        <v>364</v>
      </c>
    </row>
    <row r="4" spans="1:10" x14ac:dyDescent="0.35">
      <c r="A4" s="2" t="s">
        <v>368</v>
      </c>
      <c r="B4" s="10">
        <v>46237</v>
      </c>
      <c r="C4" s="2" t="s">
        <v>369</v>
      </c>
      <c r="D4" s="2" t="s">
        <v>367</v>
      </c>
      <c r="E4">
        <v>13</v>
      </c>
      <c r="F4">
        <v>6469</v>
      </c>
      <c r="H4" s="2" t="s">
        <v>370</v>
      </c>
      <c r="J4" t="s">
        <v>425</v>
      </c>
    </row>
    <row r="5" spans="1:10" x14ac:dyDescent="0.35">
      <c r="A5" s="2" t="s">
        <v>371</v>
      </c>
      <c r="B5" s="10">
        <v>46238</v>
      </c>
      <c r="C5" s="2" t="s">
        <v>362</v>
      </c>
      <c r="D5" s="2" t="s">
        <v>372</v>
      </c>
      <c r="E5">
        <v>13</v>
      </c>
      <c r="F5">
        <v>3127</v>
      </c>
      <c r="G5">
        <v>90</v>
      </c>
      <c r="H5" s="2" t="s">
        <v>364</v>
      </c>
      <c r="J5">
        <f>COUNT(planilha_contagens_50_entradas[Quantidade_Itens])</f>
        <v>50</v>
      </c>
    </row>
    <row r="6" spans="1:10" x14ac:dyDescent="0.35">
      <c r="A6" s="2" t="s">
        <v>373</v>
      </c>
      <c r="B6" s="10">
        <v>46239</v>
      </c>
      <c r="C6" s="2" t="s">
        <v>362</v>
      </c>
      <c r="D6" s="2" t="s">
        <v>363</v>
      </c>
      <c r="E6">
        <v>1</v>
      </c>
      <c r="F6">
        <v>13515</v>
      </c>
      <c r="H6" s="2" t="s">
        <v>374</v>
      </c>
      <c r="J6" t="s">
        <v>426</v>
      </c>
    </row>
    <row r="7" spans="1:10" x14ac:dyDescent="0.35">
      <c r="A7" s="2" t="s">
        <v>375</v>
      </c>
      <c r="B7" s="10">
        <v>46240</v>
      </c>
      <c r="C7" s="2" t="s">
        <v>366</v>
      </c>
      <c r="D7" s="2" t="s">
        <v>376</v>
      </c>
      <c r="E7">
        <v>9</v>
      </c>
      <c r="F7">
        <v>4219</v>
      </c>
      <c r="G7">
        <v>30</v>
      </c>
      <c r="H7" s="2" t="s">
        <v>364</v>
      </c>
      <c r="J7">
        <f>COUNTBLANK(planilha_contagens_50_entradas[Quantidade_Itens])</f>
        <v>0</v>
      </c>
    </row>
    <row r="8" spans="1:10" x14ac:dyDescent="0.35">
      <c r="A8" s="2" t="s">
        <v>377</v>
      </c>
      <c r="B8" s="10">
        <v>46241</v>
      </c>
      <c r="C8" s="2" t="s">
        <v>369</v>
      </c>
      <c r="D8" s="2" t="s">
        <v>363</v>
      </c>
      <c r="E8">
        <v>7</v>
      </c>
      <c r="F8">
        <v>931</v>
      </c>
      <c r="G8">
        <v>30</v>
      </c>
      <c r="H8" s="2" t="s">
        <v>364</v>
      </c>
      <c r="J8" t="s">
        <v>427</v>
      </c>
    </row>
    <row r="9" spans="1:10" x14ac:dyDescent="0.35">
      <c r="A9" s="2" t="s">
        <v>378</v>
      </c>
      <c r="B9" s="10">
        <v>46242</v>
      </c>
      <c r="C9" s="2" t="s">
        <v>369</v>
      </c>
      <c r="D9" s="2" t="s">
        <v>376</v>
      </c>
      <c r="E9">
        <v>9</v>
      </c>
      <c r="F9">
        <v>5627</v>
      </c>
      <c r="G9">
        <v>30</v>
      </c>
      <c r="H9" s="2" t="s">
        <v>364</v>
      </c>
      <c r="J9">
        <f>COUNTIF(planilha_contagens_50_entradas[Quantidade_Itens],"&gt;9")</f>
        <v>14</v>
      </c>
    </row>
    <row r="10" spans="1:10" x14ac:dyDescent="0.35">
      <c r="A10" s="2" t="s">
        <v>379</v>
      </c>
      <c r="B10" s="10">
        <v>46243</v>
      </c>
      <c r="C10" s="2" t="s">
        <v>362</v>
      </c>
      <c r="D10" s="2" t="s">
        <v>372</v>
      </c>
      <c r="E10">
        <v>8</v>
      </c>
      <c r="F10">
        <v>16384</v>
      </c>
      <c r="G10">
        <v>40</v>
      </c>
      <c r="H10" s="2" t="s">
        <v>380</v>
      </c>
      <c r="J10" t="s">
        <v>428</v>
      </c>
    </row>
    <row r="11" spans="1:10" x14ac:dyDescent="0.35">
      <c r="A11" s="2" t="s">
        <v>381</v>
      </c>
      <c r="B11" s="10">
        <v>46244</v>
      </c>
      <c r="C11" s="2" t="s">
        <v>382</v>
      </c>
      <c r="D11" s="2" t="s">
        <v>383</v>
      </c>
      <c r="E11">
        <v>1</v>
      </c>
      <c r="F11">
        <v>9868</v>
      </c>
      <c r="G11">
        <v>80</v>
      </c>
      <c r="H11" s="2" t="s">
        <v>374</v>
      </c>
      <c r="J11">
        <f>COUNTIF(planilha_contagens_50_entradas[Quantidade_Itens],"&lt;13")+N("contar pedidos para locais menores que 13")</f>
        <v>45</v>
      </c>
    </row>
    <row r="12" spans="1:10" x14ac:dyDescent="0.35">
      <c r="A12" s="2" t="s">
        <v>384</v>
      </c>
      <c r="B12" s="10">
        <v>46245</v>
      </c>
      <c r="C12" s="2" t="s">
        <v>362</v>
      </c>
      <c r="D12" s="2" t="s">
        <v>367</v>
      </c>
      <c r="E12">
        <v>12</v>
      </c>
      <c r="F12">
        <v>11231</v>
      </c>
      <c r="G12">
        <v>60</v>
      </c>
      <c r="H12" s="2" t="s">
        <v>364</v>
      </c>
      <c r="J12" t="s">
        <v>429</v>
      </c>
    </row>
    <row r="13" spans="1:10" x14ac:dyDescent="0.35">
      <c r="A13" s="2" t="s">
        <v>385</v>
      </c>
      <c r="B13" s="10">
        <v>46246</v>
      </c>
      <c r="C13" s="2" t="s">
        <v>362</v>
      </c>
      <c r="D13" s="2" t="s">
        <v>372</v>
      </c>
      <c r="E13">
        <v>8</v>
      </c>
      <c r="F13">
        <v>1328</v>
      </c>
      <c r="G13">
        <v>80</v>
      </c>
      <c r="H13" s="2" t="s">
        <v>364</v>
      </c>
    </row>
    <row r="14" spans="1:10" x14ac:dyDescent="0.35">
      <c r="A14" s="2" t="s">
        <v>386</v>
      </c>
      <c r="B14" s="10">
        <v>46247</v>
      </c>
      <c r="C14" s="2" t="s">
        <v>362</v>
      </c>
      <c r="D14" s="2" t="s">
        <v>367</v>
      </c>
      <c r="E14">
        <v>8</v>
      </c>
      <c r="F14">
        <v>466</v>
      </c>
      <c r="G14">
        <v>10</v>
      </c>
      <c r="H14" s="2" t="s">
        <v>364</v>
      </c>
      <c r="J14" t="s">
        <v>430</v>
      </c>
    </row>
    <row r="15" spans="1:10" x14ac:dyDescent="0.35">
      <c r="A15" s="2" t="s">
        <v>387</v>
      </c>
      <c r="B15" s="10">
        <v>46248</v>
      </c>
      <c r="C15" s="2" t="s">
        <v>362</v>
      </c>
      <c r="D15" s="2" t="s">
        <v>383</v>
      </c>
      <c r="E15">
        <v>11</v>
      </c>
      <c r="F15">
        <v>11868</v>
      </c>
      <c r="G15">
        <v>80</v>
      </c>
      <c r="H15" s="2" t="s">
        <v>380</v>
      </c>
      <c r="J15" t="str">
        <f>UPPER("quero contar quantos pedidos foram para o nordeste OU centro oeste ")</f>
        <v xml:space="preserve">QUERO CONTAR QUANTOS PEDIDOS FORAM PARA O NORDESTE OU CENTRO OESTE </v>
      </c>
    </row>
    <row r="16" spans="1:10" x14ac:dyDescent="0.35">
      <c r="A16" s="2" t="s">
        <v>388</v>
      </c>
      <c r="B16" s="10">
        <v>46249</v>
      </c>
      <c r="C16" s="2" t="s">
        <v>366</v>
      </c>
      <c r="D16" s="2" t="s">
        <v>383</v>
      </c>
      <c r="E16">
        <v>3</v>
      </c>
      <c r="F16">
        <v>10868</v>
      </c>
      <c r="G16">
        <v>40</v>
      </c>
      <c r="H16" s="2" t="s">
        <v>364</v>
      </c>
      <c r="J16">
        <f>COUNTIF(planilha_contagens_50_entradas[Regiao_Destino],"Nordeste")+COUNTIF(planilha_contagens_50_entradas[Regiao_Destino],"Centro-Oeste")+N("contar pedidos para duas localidades")</f>
        <v>21</v>
      </c>
    </row>
    <row r="17" spans="1:10" x14ac:dyDescent="0.35">
      <c r="A17" s="2" t="s">
        <v>389</v>
      </c>
      <c r="B17" s="10">
        <v>46250</v>
      </c>
      <c r="C17" s="2" t="s">
        <v>369</v>
      </c>
      <c r="D17" s="2" t="s">
        <v>372</v>
      </c>
      <c r="E17">
        <v>1</v>
      </c>
      <c r="F17">
        <v>5647</v>
      </c>
      <c r="H17" s="2" t="s">
        <v>370</v>
      </c>
    </row>
    <row r="18" spans="1:10" x14ac:dyDescent="0.35">
      <c r="A18" s="2" t="s">
        <v>390</v>
      </c>
      <c r="B18" s="10">
        <v>46251</v>
      </c>
      <c r="C18" s="2" t="s">
        <v>366</v>
      </c>
      <c r="D18" s="2" t="s">
        <v>383</v>
      </c>
      <c r="E18">
        <v>8</v>
      </c>
      <c r="F18">
        <v>17114</v>
      </c>
      <c r="G18">
        <v>80</v>
      </c>
      <c r="H18" s="2" t="s">
        <v>364</v>
      </c>
      <c r="J18" t="s">
        <v>431</v>
      </c>
    </row>
    <row r="19" spans="1:10" x14ac:dyDescent="0.35">
      <c r="A19" s="2" t="s">
        <v>391</v>
      </c>
      <c r="B19" s="10">
        <v>46252</v>
      </c>
      <c r="C19" s="2" t="s">
        <v>366</v>
      </c>
      <c r="D19" s="2" t="s">
        <v>376</v>
      </c>
      <c r="E19">
        <v>3</v>
      </c>
      <c r="F19">
        <v>11782</v>
      </c>
      <c r="G19">
        <v>40</v>
      </c>
      <c r="H19" s="2" t="s">
        <v>364</v>
      </c>
      <c r="J19" t="str">
        <f>LOWER("TORNAR LETRAS MAIUSCULAS OU MINUSCULAS")</f>
        <v>tornar letras maiusculas ou minusculas</v>
      </c>
    </row>
    <row r="20" spans="1:10" x14ac:dyDescent="0.35">
      <c r="A20" s="2" t="s">
        <v>392</v>
      </c>
      <c r="B20" s="10">
        <v>46253</v>
      </c>
      <c r="C20" s="2" t="s">
        <v>366</v>
      </c>
      <c r="D20" s="2" t="s">
        <v>383</v>
      </c>
      <c r="E20">
        <v>3</v>
      </c>
      <c r="F20">
        <v>13269</v>
      </c>
      <c r="G20">
        <v>60</v>
      </c>
      <c r="H20" s="2" t="s">
        <v>374</v>
      </c>
      <c r="J20" t="str">
        <f>PROPER("TORNAR LETRAS MAIUSCULAS OU MINUSCULAS")</f>
        <v>Tornar Letras Maiusculas Ou Minusculas</v>
      </c>
    </row>
    <row r="21" spans="1:10" x14ac:dyDescent="0.35">
      <c r="A21" s="2" t="s">
        <v>393</v>
      </c>
      <c r="B21" s="10">
        <v>46254</v>
      </c>
      <c r="C21" s="2" t="s">
        <v>362</v>
      </c>
      <c r="D21" s="2" t="s">
        <v>367</v>
      </c>
      <c r="E21">
        <v>1</v>
      </c>
      <c r="F21">
        <v>16147</v>
      </c>
      <c r="H21" s="2" t="s">
        <v>380</v>
      </c>
    </row>
    <row r="22" spans="1:10" x14ac:dyDescent="0.35">
      <c r="A22" s="2" t="s">
        <v>394</v>
      </c>
      <c r="B22" s="10">
        <v>46255</v>
      </c>
      <c r="C22" s="2" t="s">
        <v>382</v>
      </c>
      <c r="D22" s="2" t="s">
        <v>367</v>
      </c>
      <c r="E22">
        <v>11</v>
      </c>
      <c r="F22">
        <v>12177</v>
      </c>
      <c r="H22" s="2" t="s">
        <v>370</v>
      </c>
    </row>
    <row r="23" spans="1:10" x14ac:dyDescent="0.35">
      <c r="A23" s="2" t="s">
        <v>395</v>
      </c>
      <c r="B23" s="10">
        <v>46256</v>
      </c>
      <c r="C23" s="2" t="s">
        <v>369</v>
      </c>
      <c r="D23" s="2" t="s">
        <v>367</v>
      </c>
      <c r="E23">
        <v>5</v>
      </c>
      <c r="F23">
        <v>7082</v>
      </c>
      <c r="G23">
        <v>40</v>
      </c>
      <c r="H23" s="2" t="s">
        <v>364</v>
      </c>
      <c r="J23" t="s">
        <v>432</v>
      </c>
    </row>
    <row r="24" spans="1:10" x14ac:dyDescent="0.35">
      <c r="A24" s="2" t="s">
        <v>396</v>
      </c>
      <c r="B24" s="10">
        <v>46257</v>
      </c>
      <c r="C24" s="2" t="s">
        <v>382</v>
      </c>
      <c r="D24" s="2" t="s">
        <v>367</v>
      </c>
      <c r="E24">
        <v>10</v>
      </c>
      <c r="F24">
        <v>4135</v>
      </c>
      <c r="G24">
        <v>30</v>
      </c>
      <c r="H24" s="2" t="s">
        <v>364</v>
      </c>
      <c r="J24">
        <f>COUNTIFS(planilha_contagens_50_entradas[Regiao_Destino],"Sul",planilha_contagens_50_entradas[Transportadora],"=FreteCerto")</f>
        <v>1</v>
      </c>
    </row>
    <row r="25" spans="1:10" x14ac:dyDescent="0.35">
      <c r="A25" s="2" t="s">
        <v>397</v>
      </c>
      <c r="B25" s="10">
        <v>46258</v>
      </c>
      <c r="C25" s="2" t="s">
        <v>366</v>
      </c>
      <c r="D25" s="2" t="s">
        <v>376</v>
      </c>
      <c r="E25">
        <v>7</v>
      </c>
      <c r="F25">
        <v>9576</v>
      </c>
      <c r="G25">
        <v>90</v>
      </c>
      <c r="H25" s="2" t="s">
        <v>364</v>
      </c>
    </row>
    <row r="26" spans="1:10" x14ac:dyDescent="0.35">
      <c r="A26" s="2" t="s">
        <v>398</v>
      </c>
      <c r="B26" s="10">
        <v>46259</v>
      </c>
      <c r="C26" s="2" t="s">
        <v>366</v>
      </c>
      <c r="D26" s="2" t="s">
        <v>363</v>
      </c>
      <c r="E26">
        <v>10</v>
      </c>
      <c r="F26">
        <v>5886</v>
      </c>
      <c r="H26" s="2" t="s">
        <v>370</v>
      </c>
    </row>
    <row r="27" spans="1:10" x14ac:dyDescent="0.35">
      <c r="A27" s="2" t="s">
        <v>399</v>
      </c>
      <c r="B27" s="10">
        <v>46260</v>
      </c>
      <c r="C27" s="2" t="s">
        <v>382</v>
      </c>
      <c r="D27" s="2" t="s">
        <v>372</v>
      </c>
      <c r="E27">
        <v>9</v>
      </c>
      <c r="F27">
        <v>8956</v>
      </c>
      <c r="G27">
        <v>90</v>
      </c>
      <c r="H27" s="2" t="s">
        <v>364</v>
      </c>
    </row>
    <row r="28" spans="1:10" x14ac:dyDescent="0.35">
      <c r="A28" s="2" t="s">
        <v>400</v>
      </c>
      <c r="B28" s="10">
        <v>46261</v>
      </c>
      <c r="C28" s="2" t="s">
        <v>382</v>
      </c>
      <c r="D28" s="2" t="s">
        <v>367</v>
      </c>
      <c r="E28">
        <v>12</v>
      </c>
      <c r="F28">
        <v>16191</v>
      </c>
      <c r="G28">
        <v>20</v>
      </c>
      <c r="H28" s="2" t="s">
        <v>364</v>
      </c>
    </row>
    <row r="29" spans="1:10" x14ac:dyDescent="0.35">
      <c r="A29" s="2" t="s">
        <v>401</v>
      </c>
      <c r="B29" s="10">
        <v>46262</v>
      </c>
      <c r="C29" s="2" t="s">
        <v>382</v>
      </c>
      <c r="D29" s="2" t="s">
        <v>383</v>
      </c>
      <c r="E29">
        <v>7</v>
      </c>
      <c r="F29">
        <v>7527</v>
      </c>
      <c r="G29">
        <v>20</v>
      </c>
      <c r="H29" s="2" t="s">
        <v>364</v>
      </c>
    </row>
    <row r="30" spans="1:10" x14ac:dyDescent="0.35">
      <c r="A30" s="2" t="s">
        <v>402</v>
      </c>
      <c r="B30" s="10">
        <v>46263</v>
      </c>
      <c r="C30" s="2" t="s">
        <v>366</v>
      </c>
      <c r="D30" s="2" t="s">
        <v>367</v>
      </c>
      <c r="E30">
        <v>9</v>
      </c>
      <c r="F30">
        <v>4392</v>
      </c>
      <c r="G30">
        <v>20</v>
      </c>
      <c r="H30" s="2" t="s">
        <v>364</v>
      </c>
    </row>
    <row r="31" spans="1:10" x14ac:dyDescent="0.35">
      <c r="A31" s="2" t="s">
        <v>403</v>
      </c>
      <c r="B31" s="10">
        <v>46264</v>
      </c>
      <c r="C31" s="2" t="s">
        <v>366</v>
      </c>
      <c r="D31" s="2" t="s">
        <v>383</v>
      </c>
      <c r="E31">
        <v>8</v>
      </c>
      <c r="F31">
        <v>8023</v>
      </c>
      <c r="G31">
        <v>60</v>
      </c>
      <c r="H31" s="2" t="s">
        <v>364</v>
      </c>
    </row>
    <row r="32" spans="1:10" x14ac:dyDescent="0.35">
      <c r="A32" s="2" t="s">
        <v>404</v>
      </c>
      <c r="B32" s="10">
        <v>46265</v>
      </c>
      <c r="C32" s="2" t="s">
        <v>369</v>
      </c>
      <c r="D32" s="2" t="s">
        <v>383</v>
      </c>
      <c r="E32">
        <v>12</v>
      </c>
      <c r="F32">
        <v>16556</v>
      </c>
      <c r="G32">
        <v>30</v>
      </c>
      <c r="H32" s="2" t="s">
        <v>364</v>
      </c>
    </row>
    <row r="33" spans="1:8" x14ac:dyDescent="0.35">
      <c r="A33" s="2" t="s">
        <v>405</v>
      </c>
      <c r="B33" s="10">
        <v>46266</v>
      </c>
      <c r="C33" s="2" t="s">
        <v>369</v>
      </c>
      <c r="D33" s="2" t="s">
        <v>367</v>
      </c>
      <c r="E33">
        <v>2</v>
      </c>
      <c r="F33">
        <v>6718</v>
      </c>
      <c r="G33">
        <v>90</v>
      </c>
      <c r="H33" s="2" t="s">
        <v>364</v>
      </c>
    </row>
    <row r="34" spans="1:8" x14ac:dyDescent="0.35">
      <c r="A34" s="2" t="s">
        <v>406</v>
      </c>
      <c r="B34" s="10">
        <v>46267</v>
      </c>
      <c r="C34" s="2" t="s">
        <v>366</v>
      </c>
      <c r="D34" s="2" t="s">
        <v>376</v>
      </c>
      <c r="E34">
        <v>1</v>
      </c>
      <c r="F34">
        <v>12539</v>
      </c>
      <c r="G34">
        <v>40</v>
      </c>
      <c r="H34" s="2" t="s">
        <v>380</v>
      </c>
    </row>
    <row r="35" spans="1:8" x14ac:dyDescent="0.35">
      <c r="A35" s="2" t="s">
        <v>407</v>
      </c>
      <c r="B35" s="10">
        <v>46268</v>
      </c>
      <c r="C35" s="2" t="s">
        <v>382</v>
      </c>
      <c r="D35" s="2" t="s">
        <v>383</v>
      </c>
      <c r="E35">
        <v>7</v>
      </c>
      <c r="F35">
        <v>2508</v>
      </c>
      <c r="G35">
        <v>10</v>
      </c>
      <c r="H35" s="2" t="s">
        <v>374</v>
      </c>
    </row>
    <row r="36" spans="1:8" x14ac:dyDescent="0.35">
      <c r="A36" s="2" t="s">
        <v>408</v>
      </c>
      <c r="B36" s="10">
        <v>46269</v>
      </c>
      <c r="C36" s="2" t="s">
        <v>382</v>
      </c>
      <c r="D36" s="2" t="s">
        <v>383</v>
      </c>
      <c r="E36">
        <v>7</v>
      </c>
      <c r="F36">
        <v>7965</v>
      </c>
      <c r="G36">
        <v>40</v>
      </c>
      <c r="H36" s="2" t="s">
        <v>364</v>
      </c>
    </row>
    <row r="37" spans="1:8" x14ac:dyDescent="0.35">
      <c r="A37" s="2" t="s">
        <v>409</v>
      </c>
      <c r="B37" s="10">
        <v>46270</v>
      </c>
      <c r="C37" s="2" t="s">
        <v>369</v>
      </c>
      <c r="D37" s="2" t="s">
        <v>367</v>
      </c>
      <c r="E37">
        <v>14</v>
      </c>
      <c r="F37">
        <v>7224</v>
      </c>
      <c r="G37">
        <v>10</v>
      </c>
      <c r="H37" s="2" t="s">
        <v>364</v>
      </c>
    </row>
    <row r="38" spans="1:8" x14ac:dyDescent="0.35">
      <c r="A38" s="2" t="s">
        <v>410</v>
      </c>
      <c r="B38" s="10">
        <v>46271</v>
      </c>
      <c r="C38" s="2" t="s">
        <v>366</v>
      </c>
      <c r="D38" s="2" t="s">
        <v>383</v>
      </c>
      <c r="E38">
        <v>8</v>
      </c>
      <c r="F38">
        <v>5052</v>
      </c>
      <c r="G38">
        <v>50</v>
      </c>
      <c r="H38" s="2" t="s">
        <v>380</v>
      </c>
    </row>
    <row r="39" spans="1:8" x14ac:dyDescent="0.35">
      <c r="A39" s="2" t="s">
        <v>411</v>
      </c>
      <c r="B39" s="10">
        <v>46272</v>
      </c>
      <c r="C39" s="2" t="s">
        <v>369</v>
      </c>
      <c r="D39" s="2" t="s">
        <v>383</v>
      </c>
      <c r="E39">
        <v>5</v>
      </c>
      <c r="F39">
        <v>10778</v>
      </c>
      <c r="G39">
        <v>40</v>
      </c>
      <c r="H39" s="2" t="s">
        <v>364</v>
      </c>
    </row>
    <row r="40" spans="1:8" x14ac:dyDescent="0.35">
      <c r="A40" s="2" t="s">
        <v>412</v>
      </c>
      <c r="B40" s="10">
        <v>46273</v>
      </c>
      <c r="C40" s="2" t="s">
        <v>369</v>
      </c>
      <c r="D40" s="2" t="s">
        <v>367</v>
      </c>
      <c r="E40">
        <v>3</v>
      </c>
      <c r="F40">
        <v>10015</v>
      </c>
      <c r="G40">
        <v>80</v>
      </c>
      <c r="H40" s="2" t="s">
        <v>364</v>
      </c>
    </row>
    <row r="41" spans="1:8" x14ac:dyDescent="0.35">
      <c r="A41" s="2" t="s">
        <v>413</v>
      </c>
      <c r="B41" s="10">
        <v>46274</v>
      </c>
      <c r="C41" s="2" t="s">
        <v>362</v>
      </c>
      <c r="D41" s="2" t="s">
        <v>367</v>
      </c>
      <c r="E41">
        <v>12</v>
      </c>
      <c r="F41">
        <v>13233</v>
      </c>
      <c r="G41">
        <v>80</v>
      </c>
      <c r="H41" s="2" t="s">
        <v>364</v>
      </c>
    </row>
    <row r="42" spans="1:8" x14ac:dyDescent="0.35">
      <c r="A42" s="2" t="s">
        <v>414</v>
      </c>
      <c r="B42" s="10">
        <v>46275</v>
      </c>
      <c r="C42" s="2" t="s">
        <v>362</v>
      </c>
      <c r="D42" s="2" t="s">
        <v>372</v>
      </c>
      <c r="E42">
        <v>8</v>
      </c>
      <c r="F42">
        <v>6676</v>
      </c>
      <c r="G42">
        <v>70</v>
      </c>
      <c r="H42" s="2" t="s">
        <v>364</v>
      </c>
    </row>
    <row r="43" spans="1:8" x14ac:dyDescent="0.35">
      <c r="A43" s="2" t="s">
        <v>415</v>
      </c>
      <c r="B43" s="10">
        <v>46276</v>
      </c>
      <c r="C43" s="2" t="s">
        <v>362</v>
      </c>
      <c r="D43" s="2" t="s">
        <v>376</v>
      </c>
      <c r="E43">
        <v>6</v>
      </c>
      <c r="F43">
        <v>6284</v>
      </c>
      <c r="G43">
        <v>30</v>
      </c>
      <c r="H43" s="2" t="s">
        <v>380</v>
      </c>
    </row>
    <row r="44" spans="1:8" x14ac:dyDescent="0.35">
      <c r="A44" s="2" t="s">
        <v>416</v>
      </c>
      <c r="B44" s="10">
        <v>46277</v>
      </c>
      <c r="C44" s="2" t="s">
        <v>382</v>
      </c>
      <c r="D44" s="2" t="s">
        <v>376</v>
      </c>
      <c r="E44">
        <v>11</v>
      </c>
      <c r="F44">
        <v>5109</v>
      </c>
      <c r="G44">
        <v>10</v>
      </c>
      <c r="H44" s="2" t="s">
        <v>364</v>
      </c>
    </row>
    <row r="45" spans="1:8" x14ac:dyDescent="0.35">
      <c r="A45" s="2" t="s">
        <v>417</v>
      </c>
      <c r="B45" s="10">
        <v>46278</v>
      </c>
      <c r="C45" s="2" t="s">
        <v>366</v>
      </c>
      <c r="D45" s="2" t="s">
        <v>383</v>
      </c>
      <c r="E45">
        <v>3</v>
      </c>
      <c r="F45">
        <v>5891</v>
      </c>
      <c r="G45">
        <v>10</v>
      </c>
      <c r="H45" s="2" t="s">
        <v>380</v>
      </c>
    </row>
    <row r="46" spans="1:8" x14ac:dyDescent="0.35">
      <c r="A46" s="2" t="s">
        <v>418</v>
      </c>
      <c r="B46" s="10">
        <v>46279</v>
      </c>
      <c r="C46" s="2" t="s">
        <v>366</v>
      </c>
      <c r="D46" s="2" t="s">
        <v>376</v>
      </c>
      <c r="E46">
        <v>1</v>
      </c>
      <c r="F46">
        <v>11151</v>
      </c>
      <c r="H46" s="2" t="s">
        <v>364</v>
      </c>
    </row>
    <row r="47" spans="1:8" x14ac:dyDescent="0.35">
      <c r="A47" s="2" t="s">
        <v>419</v>
      </c>
      <c r="B47" s="10">
        <v>46280</v>
      </c>
      <c r="C47" s="2" t="s">
        <v>366</v>
      </c>
      <c r="D47" s="2" t="s">
        <v>383</v>
      </c>
      <c r="E47">
        <v>3</v>
      </c>
      <c r="F47">
        <v>8759</v>
      </c>
      <c r="G47">
        <v>30</v>
      </c>
      <c r="H47" s="2" t="s">
        <v>364</v>
      </c>
    </row>
    <row r="48" spans="1:8" x14ac:dyDescent="0.35">
      <c r="A48" s="2" t="s">
        <v>420</v>
      </c>
      <c r="B48" s="10">
        <v>46281</v>
      </c>
      <c r="C48" s="2" t="s">
        <v>366</v>
      </c>
      <c r="D48" s="2" t="s">
        <v>372</v>
      </c>
      <c r="E48">
        <v>5</v>
      </c>
      <c r="F48">
        <v>3506</v>
      </c>
      <c r="G48">
        <v>60</v>
      </c>
      <c r="H48" s="2" t="s">
        <v>364</v>
      </c>
    </row>
    <row r="49" spans="1:8" x14ac:dyDescent="0.35">
      <c r="A49" s="2" t="s">
        <v>421</v>
      </c>
      <c r="B49" s="10">
        <v>46282</v>
      </c>
      <c r="C49" s="2" t="s">
        <v>362</v>
      </c>
      <c r="D49" s="2" t="s">
        <v>367</v>
      </c>
      <c r="E49">
        <v>14</v>
      </c>
      <c r="F49">
        <v>6436</v>
      </c>
      <c r="H49" s="2" t="s">
        <v>364</v>
      </c>
    </row>
    <row r="50" spans="1:8" x14ac:dyDescent="0.35">
      <c r="A50" s="2" t="s">
        <v>422</v>
      </c>
      <c r="B50" s="10">
        <v>46283</v>
      </c>
      <c r="C50" s="2" t="s">
        <v>382</v>
      </c>
      <c r="D50" s="2" t="s">
        <v>367</v>
      </c>
      <c r="E50">
        <v>3</v>
      </c>
      <c r="F50">
        <v>6327</v>
      </c>
      <c r="H50" s="2" t="s">
        <v>364</v>
      </c>
    </row>
    <row r="51" spans="1:8" x14ac:dyDescent="0.35">
      <c r="A51" s="2" t="s">
        <v>423</v>
      </c>
      <c r="B51" s="10">
        <v>46284</v>
      </c>
      <c r="C51" s="2" t="s">
        <v>382</v>
      </c>
      <c r="D51" s="2" t="s">
        <v>367</v>
      </c>
      <c r="E51">
        <v>1</v>
      </c>
      <c r="F51">
        <v>13293</v>
      </c>
      <c r="G51">
        <v>70</v>
      </c>
      <c r="H51" s="2" t="s">
        <v>364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D1CC-085B-4633-88BC-729D3FC6DADF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07F65F-3C2D-48E5-ABE0-BAEC6A395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juntar texto_formatar numeros</vt:lpstr>
      <vt:lpstr>EXTRAIR_SOMA_SUB (2)</vt:lpstr>
      <vt:lpstr>EXTRAIR_SOMA_SUB (3)</vt:lpstr>
      <vt:lpstr>EXTRAIR_SOMA_SUB</vt:lpstr>
      <vt:lpstr>MEDIA_MAX_MIN</vt:lpstr>
      <vt:lpstr>REF_REL_ABS</vt:lpstr>
      <vt:lpstr>dados_logistica_processos</vt:lpstr>
      <vt:lpstr>planilha_contagens_50_entradas</vt:lpstr>
      <vt:lpstr>CONT_CONTSE</vt:lpstr>
      <vt:lpstr>DESCONTO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2026-09-03T16:38:04Z</dcterms:created>
  <dcterms:modified xsi:type="dcterms:W3CDTF">2026-09-03T18:45:57Z</dcterms:modified>
</cp:coreProperties>
</file>