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103067\Documents\CURSO_EXCEL_KNORR\AULA4_EXCEL\"/>
    </mc:Choice>
  </mc:AlternateContent>
  <xr:revisionPtr revIDLastSave="0" documentId="8_{C3DB6C61-0A11-4E0D-9D3E-A9B831A9CC15}" xr6:coauthVersionLast="47" xr6:coauthVersionMax="47" xr10:uidLastSave="{00000000-0000-0000-0000-000000000000}"/>
  <bookViews>
    <workbookView xWindow="-110" yWindow="-110" windowWidth="19420" windowHeight="10300" xr2:uid="{100EAAFF-1CB0-433F-9F14-6CF590F5428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<sst xmlns="http://schemas.openxmlformats.org/spreadsheetml/2006/main" count="49" uniqueCount="33">
  <si>
    <t>PROD.</t>
  </si>
  <si>
    <t>R$</t>
  </si>
  <si>
    <t>Tipo Tributação</t>
  </si>
  <si>
    <t>Estado</t>
  </si>
  <si>
    <t>Imposto Região</t>
  </si>
  <si>
    <t>Região</t>
  </si>
  <si>
    <t>0</t>
  </si>
  <si>
    <t>1</t>
  </si>
  <si>
    <t>2</t>
  </si>
  <si>
    <t>3</t>
  </si>
  <si>
    <t>4</t>
  </si>
  <si>
    <t>5</t>
  </si>
  <si>
    <t>6</t>
  </si>
  <si>
    <t>7</t>
  </si>
  <si>
    <t>B10043</t>
  </si>
  <si>
    <t>Acre</t>
  </si>
  <si>
    <t>Norte</t>
  </si>
  <si>
    <t>C10215</t>
  </si>
  <si>
    <t>Alagoas</t>
  </si>
  <si>
    <t>Nordeste</t>
  </si>
  <si>
    <t>C11054</t>
  </si>
  <si>
    <t>Amapá</t>
  </si>
  <si>
    <t>Centro-Oeste</t>
  </si>
  <si>
    <t>A12022</t>
  </si>
  <si>
    <t>Amazonas</t>
  </si>
  <si>
    <t>Sudeste</t>
  </si>
  <si>
    <t>D12554</t>
  </si>
  <si>
    <t>Bahia</t>
  </si>
  <si>
    <t>Sul</t>
  </si>
  <si>
    <t>B13860</t>
  </si>
  <si>
    <t>Ceará</t>
  </si>
  <si>
    <t>C14472</t>
  </si>
  <si>
    <t>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</si>
</sst>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3" fontId="3" fillId="0" borderId="5" xfId="0" applyNumberFormat="1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164" fontId="0" fillId="0" borderId="0" xfId="1" applyNumberFormat="1" applyFont="1"/>
    <xf numFmtId="10" fontId="3" fillId="0" borderId="5" xfId="0" applyNumberFormat="1" applyFont="1" applyBorder="1" applyAlignment="1">
      <alignment horizontal="left" vertical="center" wrapText="1" indent="1"/>
    </xf>
    <xf numFmtId="10" fontId="3" fillId="0" borderId="6" xfId="0" applyNumberFormat="1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10" fontId="3" fillId="0" borderId="8" xfId="0" applyNumberFormat="1" applyFont="1" applyBorder="1" applyAlignment="1">
      <alignment horizontal="left" vertical="center" wrapText="1" indent="1"/>
    </xf>
    <xf numFmtId="10" fontId="3" fillId="0" borderId="9" xfId="0" applyNumberFormat="1" applyFont="1" applyBorder="1" applyAlignment="1">
      <alignment horizontal="left" vertical="center" wrapText="1" indent="1"/>
    </xf>
  </cellXfs>
  <cellStyles count="2">
    <cellStyle name="Normal" xfId="0" builtinId="0"/>
    <cellStyle name="Porcentagem" xfId="1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top style="medium">
          <color rgb="FFC4C7C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53C5E-C7A2-4E3D-ABEA-4D3E0F7551CD}" name="Tabela2" displayName="Tabela2" ref="G3:H10" totalsRowShown="0">
  <autoFilter ref="G3:H10" xr:uid="{61753C5E-C7A2-4E3D-ABEA-4D3E0F7551CD}"/>
  <tableColumns count="2">
    <tableColumn id="1" xr3:uid="{45AD2D10-254A-4E9B-A4B6-6F517D8E7ADE}" name="Estado"/>
    <tableColumn id="2" xr3:uid="{124EB815-2C29-4356-BFB4-7289C6153DED}" name="Regiã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2CB7FF-7CFD-44A0-ADBF-F29F64F95B1C}" name="Tabela3" displayName="Tabela3" ref="J3:R8" totalsRowShown="0" headerRowDxfId="21" dataDxfId="20" headerRowBorderDxfId="18" tableBorderDxfId="19" totalsRowBorderDxfId="17">
  <autoFilter ref="J3:R8" xr:uid="{032CB7FF-7CFD-44A0-ADBF-F29F64F95B1C}"/>
  <tableColumns count="9">
    <tableColumn id="1" xr3:uid="{7604469A-9024-45EC-AA47-E6D6882E8CCE}" name="Região" dataDxfId="16"/>
    <tableColumn id="2" xr3:uid="{5368F7AD-4FC2-45A6-A50C-EE35EE75C002}" name="0" dataDxfId="15"/>
    <tableColumn id="3" xr3:uid="{76F64062-3B67-429C-9252-771AF1501FA2}" name="1" dataDxfId="14"/>
    <tableColumn id="4" xr3:uid="{4196557A-02C7-4434-A594-3A853623498F}" name="2" dataDxfId="13"/>
    <tableColumn id="5" xr3:uid="{95A461D7-0C37-4210-94C8-F7A9C28BA552}" name="3" dataDxfId="12"/>
    <tableColumn id="6" xr3:uid="{5B6E1487-D437-402F-B83C-06E967B25A5D}" name="4" dataDxfId="11"/>
    <tableColumn id="7" xr3:uid="{75BFB858-1BAD-4F0B-84B7-02D1214B881F}" name="5" dataDxfId="10"/>
    <tableColumn id="8" xr3:uid="{E5AC18B8-6920-4EA8-8B0B-220725635A7B}" name="6" dataDxfId="9"/>
    <tableColumn id="9" xr3:uid="{778E7112-D9FB-470B-9E8D-F521D8B79D01}" name="7" dataDxfId="8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8F7366-CA3A-4634-A0AF-7114C624FF54}" name="Tabela4" displayName="Tabela4" ref="A3:E10" totalsRowShown="0" headerRowDxfId="7" headerRowBorderDxfId="5" tableBorderDxfId="6">
  <autoFilter ref="A3:E10" xr:uid="{708F7366-CA3A-4634-A0AF-7114C624FF54}"/>
  <tableColumns count="5">
    <tableColumn id="1" xr3:uid="{FCC84E28-CA92-42CB-9145-F20960B8CD31}" name="PROD." dataDxfId="4"/>
    <tableColumn id="2" xr3:uid="{AE85206C-A467-4611-BF80-C4356310295C}" name="R$" dataDxfId="3"/>
    <tableColumn id="3" xr3:uid="{3D31F937-BA97-47C3-BB0A-0FA9389B1408}" name="Tipo Tributação" dataDxfId="2"/>
    <tableColumn id="4" xr3:uid="{8C69281F-B9A6-404F-B3F1-0FAF8B4111C1}" name="Estado" dataDxfId="1"/>
    <tableColumn id="5" xr3:uid="{1A72D728-A6F5-4DFE-B7B0-9C6BC9871760}" name="Imposto Região" dataDxfId="0" dataCellStyle="Porcentagem">
      <calculatedColumnFormula>VLOOKUP(VLOOKUP(D4,$G$4:$H$10,2,),$J$4:$R$8,C4+2,FALSE)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F6B5-3CDF-4F59-906D-F970B72DD8D6}">
  <dimension ref="A1:R10"/>
  <sheetViews>
    <sheetView tabSelected="1" workbookViewId="0">
      <selection activeCell="J10" sqref="J10"/>
    </sheetView>
  </sheetViews>
  <sheetFormatPr defaultRowHeight="14.5" x14ac:dyDescent="0.35"/>
  <cols>
    <col min="1" max="2" width="12.36328125" customWidth="1"/>
    <col min="3" max="3" width="18.6328125" customWidth="1"/>
    <col min="4" max="4" width="12.36328125" customWidth="1"/>
    <col min="5" max="5" width="18.36328125" customWidth="1"/>
    <col min="7" max="7" width="13.36328125" bestFit="1" customWidth="1"/>
    <col min="8" max="8" width="11.90625" bestFit="1" customWidth="1"/>
    <col min="10" max="10" width="10.36328125" customWidth="1"/>
  </cols>
  <sheetData>
    <row r="1" spans="1:18" x14ac:dyDescent="0.35">
      <c r="A1" s="1"/>
    </row>
    <row r="3" spans="1:18" ht="15" thickBot="1" x14ac:dyDescent="0.4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G3" t="s">
        <v>3</v>
      </c>
      <c r="H3" t="s">
        <v>5</v>
      </c>
      <c r="J3" s="2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4" t="s">
        <v>13</v>
      </c>
    </row>
    <row r="4" spans="1:18" ht="15" thickBot="1" x14ac:dyDescent="0.4">
      <c r="A4" s="5" t="s">
        <v>14</v>
      </c>
      <c r="B4" s="6">
        <v>11644</v>
      </c>
      <c r="C4" s="7">
        <v>1</v>
      </c>
      <c r="D4" s="7" t="s">
        <v>15</v>
      </c>
      <c r="E4" s="8">
        <f t="shared" ref="E4:E10" si="0">VLOOKUP(VLOOKUP(D4,$G$4:$H$10,2,),$J$4:$R$8,C4+2,FALSE)</f>
        <v>4.1000000000000003E-3</v>
      </c>
      <c r="G4" t="s">
        <v>15</v>
      </c>
      <c r="H4" t="s">
        <v>16</v>
      </c>
      <c r="J4" s="5" t="s">
        <v>16</v>
      </c>
      <c r="K4" s="9">
        <v>7.9000000000000008E-3</v>
      </c>
      <c r="L4" s="9">
        <v>4.1000000000000003E-3</v>
      </c>
      <c r="M4" s="9">
        <v>4.7999999999999996E-3</v>
      </c>
      <c r="N4" s="9">
        <v>2.5000000000000001E-3</v>
      </c>
      <c r="O4" s="9">
        <v>4.0000000000000002E-4</v>
      </c>
      <c r="P4" s="9">
        <v>4.0000000000000001E-3</v>
      </c>
      <c r="Q4" s="9">
        <v>8.6999999999999994E-3</v>
      </c>
      <c r="R4" s="10">
        <v>8.8999999999999999E-3</v>
      </c>
    </row>
    <row r="5" spans="1:18" ht="15" thickBot="1" x14ac:dyDescent="0.4">
      <c r="A5" s="5" t="s">
        <v>17</v>
      </c>
      <c r="B5" s="6">
        <v>56891</v>
      </c>
      <c r="C5" s="7">
        <v>4</v>
      </c>
      <c r="D5" s="7" t="s">
        <v>18</v>
      </c>
      <c r="E5" s="8">
        <f t="shared" si="0"/>
        <v>8.0000000000000002E-3</v>
      </c>
      <c r="G5" t="s">
        <v>18</v>
      </c>
      <c r="H5" t="s">
        <v>19</v>
      </c>
      <c r="J5" s="5" t="s">
        <v>19</v>
      </c>
      <c r="K5" s="9">
        <v>1.14E-2</v>
      </c>
      <c r="L5" s="9">
        <v>1E-3</v>
      </c>
      <c r="M5" s="9">
        <v>1.9E-3</v>
      </c>
      <c r="N5" s="9">
        <v>9.7000000000000003E-3</v>
      </c>
      <c r="O5" s="9">
        <v>8.0000000000000002E-3</v>
      </c>
      <c r="P5" s="9">
        <v>4.1300000000000003E-2</v>
      </c>
      <c r="Q5" s="9">
        <v>6.5699999999999995E-2</v>
      </c>
      <c r="R5" s="10">
        <v>1E-4</v>
      </c>
    </row>
    <row r="6" spans="1:18" ht="28.5" thickBot="1" x14ac:dyDescent="0.4">
      <c r="A6" s="5" t="s">
        <v>20</v>
      </c>
      <c r="B6" s="6">
        <v>80848</v>
      </c>
      <c r="C6" s="7">
        <v>0</v>
      </c>
      <c r="D6" s="7" t="s">
        <v>21</v>
      </c>
      <c r="E6" s="8">
        <f t="shared" si="0"/>
        <v>7.9000000000000008E-3</v>
      </c>
      <c r="G6" t="s">
        <v>21</v>
      </c>
      <c r="H6" t="s">
        <v>16</v>
      </c>
      <c r="J6" s="5" t="s">
        <v>22</v>
      </c>
      <c r="K6" s="9">
        <v>8.6699999999999999E-2</v>
      </c>
      <c r="L6" s="9">
        <v>6.4000000000000003E-3</v>
      </c>
      <c r="M6" s="9">
        <v>1.2999999999999999E-3</v>
      </c>
      <c r="N6" s="9">
        <v>6.5699999999999995E-2</v>
      </c>
      <c r="O6" s="9">
        <v>4.6300000000000001E-2</v>
      </c>
      <c r="P6" s="9">
        <v>6.8999999999999999E-3</v>
      </c>
      <c r="Q6" s="9">
        <v>6.5699999999999995E-2</v>
      </c>
      <c r="R6" s="10">
        <v>1E-3</v>
      </c>
    </row>
    <row r="7" spans="1:18" ht="15" thickBot="1" x14ac:dyDescent="0.4">
      <c r="A7" s="5" t="s">
        <v>23</v>
      </c>
      <c r="B7" s="6">
        <v>45789</v>
      </c>
      <c r="C7" s="7">
        <v>4</v>
      </c>
      <c r="D7" s="7" t="s">
        <v>24</v>
      </c>
      <c r="E7" s="8">
        <f t="shared" si="0"/>
        <v>4.0000000000000002E-4</v>
      </c>
      <c r="G7" t="s">
        <v>24</v>
      </c>
      <c r="H7" t="s">
        <v>16</v>
      </c>
      <c r="J7" s="5" t="s">
        <v>25</v>
      </c>
      <c r="K7" s="9">
        <v>5.4000000000000003E-3</v>
      </c>
      <c r="L7" s="9">
        <v>7.1999999999999998E-3</v>
      </c>
      <c r="M7" s="9">
        <v>3.0999999999999999E-3</v>
      </c>
      <c r="N7" s="9">
        <v>5.4000000000000003E-3</v>
      </c>
      <c r="O7" s="9">
        <v>6.0900000000000003E-2</v>
      </c>
      <c r="P7" s="9">
        <v>6.1699999999999998E-2</v>
      </c>
      <c r="Q7" s="9">
        <v>0.1095</v>
      </c>
      <c r="R7" s="10">
        <v>7.4000000000000003E-3</v>
      </c>
    </row>
    <row r="8" spans="1:18" ht="15" thickBot="1" x14ac:dyDescent="0.4">
      <c r="A8" s="5" t="s">
        <v>26</v>
      </c>
      <c r="B8" s="6">
        <v>54653</v>
      </c>
      <c r="C8" s="7">
        <v>4</v>
      </c>
      <c r="D8" s="7" t="s">
        <v>27</v>
      </c>
      <c r="E8" s="8">
        <f t="shared" si="0"/>
        <v>8.0000000000000002E-3</v>
      </c>
      <c r="G8" t="s">
        <v>27</v>
      </c>
      <c r="H8" t="s">
        <v>19</v>
      </c>
      <c r="J8" s="11" t="s">
        <v>28</v>
      </c>
      <c r="K8" s="12">
        <v>5.0000000000000001E-4</v>
      </c>
      <c r="L8" s="12">
        <v>1.3100000000000001E-2</v>
      </c>
      <c r="M8" s="12">
        <v>6.5699999999999995E-2</v>
      </c>
      <c r="N8" s="12">
        <v>1E-4</v>
      </c>
      <c r="O8" s="12">
        <v>8.0000000000000002E-3</v>
      </c>
      <c r="P8" s="12">
        <v>6.1999999999999998E-3</v>
      </c>
      <c r="Q8" s="12">
        <v>5.1999999999999998E-3</v>
      </c>
      <c r="R8" s="13">
        <v>0</v>
      </c>
    </row>
    <row r="9" spans="1:18" ht="15" thickBot="1" x14ac:dyDescent="0.4">
      <c r="A9" s="5" t="s">
        <v>29</v>
      </c>
      <c r="B9" s="6">
        <v>26220</v>
      </c>
      <c r="C9" s="7">
        <v>0</v>
      </c>
      <c r="D9" s="7" t="s">
        <v>30</v>
      </c>
      <c r="E9" s="8">
        <f t="shared" si="0"/>
        <v>1.14E-2</v>
      </c>
      <c r="G9" t="s">
        <v>30</v>
      </c>
      <c r="H9" t="s">
        <v>19</v>
      </c>
    </row>
    <row r="10" spans="1:18" ht="28.5" thickBot="1" x14ac:dyDescent="0.4">
      <c r="A10" s="5" t="s">
        <v>31</v>
      </c>
      <c r="B10" s="6">
        <v>72571</v>
      </c>
      <c r="C10" s="7">
        <v>7</v>
      </c>
      <c r="D10" s="7" t="s">
        <v>32</v>
      </c>
      <c r="E10" s="8">
        <f t="shared" si="0"/>
        <v>1E-3</v>
      </c>
      <c r="G10" t="s">
        <v>32</v>
      </c>
      <c r="H10" t="s">
        <v>22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Honorio Pereira</dc:creator>
  <cp:lastModifiedBy>Antonio Jose Honorio Pereira</cp:lastModifiedBy>
  <dcterms:created xsi:type="dcterms:W3CDTF">2026-09-16T18:45:52Z</dcterms:created>
  <dcterms:modified xsi:type="dcterms:W3CDTF">2026-09-16T18:47:00Z</dcterms:modified>
</cp:coreProperties>
</file>